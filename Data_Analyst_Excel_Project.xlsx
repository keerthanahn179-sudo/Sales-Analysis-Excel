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4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pivotTables/pivotTable5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6.xml" ContentType="application/vnd.openxmlformats-officedocument.spreadsheetml.pivotTab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8C8EB84FE10874D/Documents/"/>
    </mc:Choice>
  </mc:AlternateContent>
  <xr:revisionPtr revIDLastSave="455" documentId="8_{9DF9D1ED-C89A-41F4-BCA5-41345C0F1EF0}" xr6:coauthVersionLast="47" xr6:coauthVersionMax="47" xr10:uidLastSave="{8618EDAC-A30F-4FE5-947E-48E71048C374}"/>
  <bookViews>
    <workbookView xWindow="-108" yWindow="-108" windowWidth="23256" windowHeight="12456" firstSheet="2" activeTab="6" xr2:uid="{84C8DD6D-42D8-4B46-9E99-765241EDB368}"/>
  </bookViews>
  <sheets>
    <sheet name="Sheet2" sheetId="2" r:id="rId1"/>
    <sheet name="Sheet3" sheetId="3" r:id="rId2"/>
    <sheet name="Table1" sheetId="4" r:id="rId3"/>
    <sheet name="Table1 (2)" sheetId="5" r:id="rId4"/>
    <sheet name="Sheet1" sheetId="1" r:id="rId5"/>
    <sheet name="Table4" sheetId="7" r:id="rId6"/>
    <sheet name="Sheet5" sheetId="9" r:id="rId7"/>
    <sheet name="Sheet6" sheetId="10" r:id="rId8"/>
    <sheet name="Table6" sheetId="8" r:id="rId9"/>
    <sheet name="Sheet4" sheetId="6" r:id="rId10"/>
  </sheets>
  <definedNames>
    <definedName name="ExternalData_1" localSheetId="2" hidden="1">Table1!$A$1:$B$4</definedName>
    <definedName name="ExternalData_1" localSheetId="3" hidden="1">'Table1 (2)'!$A$1:$H$15</definedName>
    <definedName name="ExternalData_1" localSheetId="5" hidden="1">Table4!$A$1:$B$6</definedName>
    <definedName name="ExternalData_1" localSheetId="8" hidden="1">Table6!$A$1:$C$5</definedName>
  </definedNames>
  <calcPr calcId="191029"/>
  <pivotCaches>
    <pivotCache cacheId="0" r:id="rId11"/>
    <pivotCache cacheId="1" r:id="rId12"/>
    <pivotCache cacheId="2" r:id="rId13"/>
    <pivotCache cacheId="3" r:id="rId1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9" l="1"/>
  <c r="B4" i="9"/>
  <c r="B5" i="9"/>
  <c r="B6" i="9"/>
  <c r="B7" i="9"/>
  <c r="G3" i="1"/>
  <c r="G4" i="1"/>
  <c r="G5" i="1"/>
  <c r="G6" i="1"/>
  <c r="G7" i="1"/>
  <c r="G8" i="1"/>
  <c r="G9" i="1"/>
  <c r="G10" i="1"/>
  <c r="G11" i="1"/>
  <c r="G12" i="1"/>
  <c r="G13" i="1"/>
  <c r="G14" i="1"/>
  <c r="G15" i="1"/>
  <c r="G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522A8C7-BCD1-4122-A45F-ADAEAD020D85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  <connection id="2" xr16:uid="{F49DEB2B-5821-4986-B68D-01AC750C1930}" keepAlive="1" name="Query - Table1 (2)" description="Connection to the 'Table1 (2)' query in the workbook." type="5" refreshedVersion="8" background="1" saveData="1">
    <dbPr connection="Provider=Microsoft.Mashup.OleDb.1;Data Source=$Workbook$;Location=&quot;Table1 (2)&quot;;Extended Properties=&quot;&quot;" command="SELECT * FROM [Table1 (2)]"/>
  </connection>
  <connection id="3" xr16:uid="{7771388F-3258-4145-830B-BB9080BEAEA5}" keepAlive="1" name="Query - Table4" description="Connection to the 'Table4' query in the workbook." type="5" refreshedVersion="8" background="1" saveData="1">
    <dbPr connection="Provider=Microsoft.Mashup.OleDb.1;Data Source=$Workbook$;Location=Table4;Extended Properties=&quot;&quot;" command="SELECT * FROM [Table4]"/>
  </connection>
  <connection id="4" xr16:uid="{0C71B152-5ABB-4290-880C-BF3FDA2E3169}" keepAlive="1" name="Query - Table6" description="Connection to the 'Table6' query in the workbook." type="5" refreshedVersion="8" background="1" saveData="1">
    <dbPr connection="Provider=Microsoft.Mashup.OleDb.1;Data Source=$Workbook$;Location=Table6;Extended Properties=&quot;&quot;" command="SELECT * FROM [Table6]"/>
  </connection>
</connections>
</file>

<file path=xl/sharedStrings.xml><?xml version="1.0" encoding="utf-8"?>
<sst xmlns="http://schemas.openxmlformats.org/spreadsheetml/2006/main" count="245" uniqueCount="59">
  <si>
    <t>Employee</t>
  </si>
  <si>
    <t>Department</t>
  </si>
  <si>
    <t>Product</t>
  </si>
  <si>
    <t>Region</t>
  </si>
  <si>
    <t>Sales</t>
  </si>
  <si>
    <t>Status</t>
  </si>
  <si>
    <t>Anu</t>
  </si>
  <si>
    <t>IT</t>
  </si>
  <si>
    <t>Laptop</t>
  </si>
  <si>
    <t>South</t>
  </si>
  <si>
    <t>Completed</t>
  </si>
  <si>
    <t>Ravi</t>
  </si>
  <si>
    <t>HR</t>
  </si>
  <si>
    <t>Monitor</t>
  </si>
  <si>
    <t>North</t>
  </si>
  <si>
    <t>Pending</t>
  </si>
  <si>
    <t>Priya</t>
  </si>
  <si>
    <t>Kiran</t>
  </si>
  <si>
    <t>Keyboard</t>
  </si>
  <si>
    <t>West</t>
  </si>
  <si>
    <t>Sneha</t>
  </si>
  <si>
    <t>Rahul</t>
  </si>
  <si>
    <t>Divya</t>
  </si>
  <si>
    <t>Arjun</t>
  </si>
  <si>
    <t>East</t>
  </si>
  <si>
    <t>Meena</t>
  </si>
  <si>
    <t>Vijay</t>
  </si>
  <si>
    <t>Neha</t>
  </si>
  <si>
    <t>Asha</t>
  </si>
  <si>
    <t>Rohan</t>
  </si>
  <si>
    <t>Pooja</t>
  </si>
  <si>
    <t>Sales_Level</t>
  </si>
  <si>
    <t>Pending_Employees</t>
  </si>
  <si>
    <t>Sales_Sorted</t>
  </si>
  <si>
    <t>Row Labels</t>
  </si>
  <si>
    <t>Grand Total</t>
  </si>
  <si>
    <t>Sum of Sales</t>
  </si>
  <si>
    <t>Column2</t>
  </si>
  <si>
    <t>Column3</t>
  </si>
  <si>
    <t>Column4</t>
  </si>
  <si>
    <t>Column5</t>
  </si>
  <si>
    <t>High</t>
  </si>
  <si>
    <t>Total Sales</t>
  </si>
  <si>
    <t>Normal</t>
  </si>
  <si>
    <t>Table1.Total Sales</t>
  </si>
  <si>
    <t>Finance</t>
  </si>
  <si>
    <t>Marketing</t>
  </si>
  <si>
    <t>Jan</t>
  </si>
  <si>
    <t>Feb</t>
  </si>
  <si>
    <t>Attribute</t>
  </si>
  <si>
    <t>Value</t>
  </si>
  <si>
    <t>Sum of Value</t>
  </si>
  <si>
    <t>SALES ANALYSIS DASHBOARD</t>
  </si>
  <si>
    <t>Average Sales</t>
  </si>
  <si>
    <t>Highest  Sales</t>
  </si>
  <si>
    <t>Lowest Sales</t>
  </si>
  <si>
    <t>Number of Records</t>
  </si>
  <si>
    <t>Sum of Jan</t>
  </si>
  <si>
    <t>Sum of Feb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</si>
</sst>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ABABAB"/>
      </right>
      <top style="thin">
        <color indexed="65"/>
      </top>
      <bottom/>
      <diagonal/>
    </border>
    <border>
      <left style="thin">
        <color rgb="FFABABAB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 style="thin">
        <color rgb="FFABABAB"/>
      </right>
      <top style="thin">
        <color indexed="65"/>
      </top>
      <bottom style="thin">
        <color rgb="FFABABAB"/>
      </bottom>
      <diagonal/>
    </border>
  </borders>
  <cellStyleXfs count="1">
    <xf numFmtId="0" fontId="0" fillId="0" borderId="0"/>
  </cellStyleXfs>
  <cellXfs count="18">
    <xf numFmtId="0" fontId="0" fillId="0" borderId="0" xfId="0"/>
    <xf numFmtId="2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/>
    <xf numFmtId="164" fontId="1" fillId="0" borderId="0" xfId="0" applyNumberFormat="1" applyFont="1"/>
  </cellXfs>
  <cellStyles count="1">
    <cellStyle name="Normal" xfId="0" builtinId="0"/>
  </cellStyles>
  <dxfs count="11">
    <dxf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[Data_Analyst_Excel_Project.xlsx]Sheet2!PivotTable3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Status-Wise-Sales</a:t>
            </a:r>
          </a:p>
          <a:p>
            <a:pPr>
              <a:defRPr/>
            </a:pPr>
            <a:endParaRPr lang="en-US"/>
          </a:p>
        </c:rich>
      </c:tx>
      <c:layout>
        <c:manualLayout>
          <c:xMode val="edge"/>
          <c:yMode val="edge"/>
          <c:x val="0.35273600174978126"/>
          <c:y val="7.30533683289588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Sheet2!$A$2:$A$4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Sheet2!$B$2:$B$4</c:f>
              <c:numCache>
                <c:formatCode>General</c:formatCode>
                <c:ptCount val="2"/>
                <c:pt idx="0">
                  <c:v>408000</c:v>
                </c:pt>
                <c:pt idx="1">
                  <c:v>123000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C3-4B0C-957E-0C4691CA6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40494943"/>
        <c:axId val="2023524303"/>
      </c:barChart>
      <c:catAx>
        <c:axId val="20404949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3524303"/>
        <c:crosses val="autoZero"/>
        <c:auto val="1"/>
        <c:lblAlgn val="ctr"/>
        <c:lblOffset val="100"/>
        <c:noMultiLvlLbl val="0"/>
      </c:catAx>
      <c:valAx>
        <c:axId val="2023524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04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[Data_Analyst_Excel_Project.xlsx]Sheet2!PivotTable5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Product-Wise_Sales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Sheet2!$B$10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Sheet2!$A$11:$A$14</c:f>
              <c:strCache>
                <c:ptCount val="3"/>
                <c:pt idx="0">
                  <c:v>Keyboard</c:v>
                </c:pt>
                <c:pt idx="1">
                  <c:v>Laptop</c:v>
                </c:pt>
                <c:pt idx="2">
                  <c:v>Monitor</c:v>
                </c:pt>
              </c:strCache>
            </c:strRef>
          </c:cat>
          <c:val>
            <c:numRef>
              <c:f>Sheet2!$B$11:$B$14</c:f>
              <c:numCache>
                <c:formatCode>General</c:formatCode>
                <c:ptCount val="3"/>
                <c:pt idx="0">
                  <c:v>49000</c:v>
                </c:pt>
                <c:pt idx="1">
                  <c:v>366000</c:v>
                </c:pt>
                <c:pt idx="2">
                  <c:v>116000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32-4DF1-9C6E-5C157EDEB1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40498655"/>
        <c:axId val="2023558863"/>
      </c:barChart>
      <c:catAx>
        <c:axId val="20404986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3558863"/>
        <c:crosses val="autoZero"/>
        <c:auto val="1"/>
        <c:lblAlgn val="ctr"/>
        <c:lblOffset val="100"/>
        <c:noMultiLvlLbl val="0"/>
      </c:catAx>
      <c:valAx>
        <c:axId val="2023558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04986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[Data_Analyst_Excel_Project.xlsx]Sheet5!PivotTable3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Department</a:t>
            </a:r>
            <a:r>
              <a:rPr lang="en-IN" baseline="0"/>
              <a:t> Sales By Month</a:t>
            </a:r>
          </a:p>
          <a:p>
            <a:pPr>
              <a:defRPr/>
            </a:pPr>
            <a:endParaRPr lang="en-IN"/>
          </a:p>
        </c:rich>
      </c:tx>
      <c:layout>
        <c:manualLayout>
          <c:xMode val="edge"/>
          <c:yMode val="edge"/>
          <c:x val="0.35912531100986311"/>
          <c:y val="1.9368993411020615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9034138798141546E-2"/>
          <c:y val="6.9879219652602423E-2"/>
          <c:w val="0.90874222322004106"/>
          <c:h val="0.8337166046271938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Sheet5!$E$3</c:f>
              <c:strCache>
                <c:ptCount val="1"/>
                <c:pt idx="0">
                  <c:v>Sum of Jan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Sheet5!$D$4:$D$6</c:f>
              <c:strCache>
                <c:ptCount val="2"/>
                <c:pt idx="0">
                  <c:v>HR</c:v>
                </c:pt>
                <c:pt idx="1">
                  <c:v>IT</c:v>
                </c:pt>
              </c:strCache>
            </c:strRef>
          </c:cat>
          <c:val>
            <c:numRef>
              <c:f>Sheet5!$E$4:$E$6</c:f>
              <c:numCache>
                <c:formatCode>General</c:formatCode>
                <c:ptCount val="2"/>
                <c:pt idx="0">
                  <c:v>30000</c:v>
                </c:pt>
                <c:pt idx="1">
                  <c:v>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9D0-47AB-AFF2-BCB5111E3CCE}"/>
            </c:ext>
          </c:extLst>
        </c:ser>
        <c:ser>
          <c:idx val="1"/>
          <c:order val="1"/>
          <c:tx>
            <c:strRef>
              <c:f>Sheet5!$F$3</c:f>
              <c:strCache>
                <c:ptCount val="1"/>
                <c:pt idx="0">
                  <c:v>Sum of Feb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Sheet5!$D$4:$D$6</c:f>
              <c:strCache>
                <c:ptCount val="2"/>
                <c:pt idx="0">
                  <c:v>HR</c:v>
                </c:pt>
                <c:pt idx="1">
                  <c:v>IT</c:v>
                </c:pt>
              </c:strCache>
            </c:strRef>
          </c:cat>
          <c:val>
            <c:numRef>
              <c:f>Sheet5!$F$4:$F$6</c:f>
              <c:numCache>
                <c:formatCode>General</c:formatCode>
                <c:ptCount val="2"/>
                <c:pt idx="0">
                  <c:v>40000</c:v>
                </c:pt>
                <c:pt idx="1">
                  <c:v>60000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9D0-47AB-AFF2-BCB5111E3C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01022911"/>
        <c:axId val="405907279"/>
      </c:barChart>
      <c:catAx>
        <c:axId val="401022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5907279"/>
        <c:crosses val="autoZero"/>
        <c:auto val="1"/>
        <c:lblAlgn val="ctr"/>
        <c:lblOffset val="100"/>
        <c:noMultiLvlLbl val="0"/>
      </c:catAx>
      <c:valAx>
        <c:axId val="405907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1022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[Data_Analyst_Excel_Project.xlsx]Sheet6!PivotTable2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Department</a:t>
            </a:r>
            <a:r>
              <a:rPr lang="en-IN" baseline="0"/>
              <a:t> Sales By Month</a:t>
            </a:r>
          </a:p>
          <a:p>
            <a:pPr>
              <a:defRPr/>
            </a:pP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Sheet6!$B$3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Sheet6!$A$4:$A$10</c:f>
              <c:multiLvlStrCache>
                <c:ptCount val="4"/>
                <c:lvl>
                  <c:pt idx="0">
                    <c:v>Jan</c:v>
                  </c:pt>
                  <c:pt idx="1">
                    <c:v>Feb</c:v>
                  </c:pt>
                  <c:pt idx="2">
                    <c:v>Jan</c:v>
                  </c:pt>
                  <c:pt idx="3">
                    <c:v>Feb</c:v>
                  </c:pt>
                </c:lvl>
                <c:lvl>
                  <c:pt idx="0">
                    <c:v>HR</c:v>
                  </c:pt>
                  <c:pt idx="2">
                    <c:v>IT</c:v>
                  </c:pt>
                </c:lvl>
              </c:multiLvlStrCache>
            </c:multiLvlStrRef>
          </c:cat>
          <c:val>
            <c:numRef>
              <c:f>Sheet6!$B$4:$B$10</c:f>
              <c:numCache>
                <c:formatCode>General</c:formatCode>
                <c:ptCount val="4"/>
                <c:pt idx="0">
                  <c:v>30000</c:v>
                </c:pt>
                <c:pt idx="1">
                  <c:v>40000</c:v>
                </c:pt>
                <c:pt idx="2">
                  <c:v>50000</c:v>
                </c:pt>
                <c:pt idx="3">
                  <c:v>60000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CB-4674-8040-1A45C92B8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92769215"/>
        <c:axId val="2076411407"/>
      </c:barChart>
      <c:catAx>
        <c:axId val="3927692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6411407"/>
        <c:crosses val="autoZero"/>
        <c:auto val="1"/>
        <c:lblAlgn val="ctr"/>
        <c:lblOffset val="100"/>
        <c:noMultiLvlLbl val="0"/>
      </c:catAx>
      <c:valAx>
        <c:axId val="2076411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27692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502920</xdr:colOff>
      <xdr:row>0</xdr:row>
      <xdr:rowOff>0</xdr:rowOff>
    </xdr:from>
    <xdr:to>
      <xdr:col>10</xdr:col>
      <xdr:colOff>198120</xdr:colOff>
      <xdr:row>15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68C12C3-E3A0-403A-082B-BB474F9EE6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419100</xdr:colOff>
      <xdr:row>0</xdr:row>
      <xdr:rowOff>0</xdr:rowOff>
    </xdr:from>
    <xdr:to>
      <xdr:col>18</xdr:col>
      <xdr:colOff>114300</xdr:colOff>
      <xdr:row>15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DA627F6-53BC-246D-9E5C-81C733751D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199292</xdr:colOff>
      <xdr:row>4</xdr:row>
      <xdr:rowOff>140677</xdr:rowOff>
    </xdr:from>
    <xdr:to>
      <xdr:col>18</xdr:col>
      <xdr:colOff>562707</xdr:colOff>
      <xdr:row>33</xdr:row>
      <xdr:rowOff>11723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58964296-5F75-D3A5-7CB9-579173F3C0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601980</xdr:colOff>
      <xdr:row>1</xdr:row>
      <xdr:rowOff>19050</xdr:rowOff>
    </xdr:from>
    <xdr:to>
      <xdr:col>10</xdr:col>
      <xdr:colOff>297180</xdr:colOff>
      <xdr:row>16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852DB8A-A413-6018-61D7-38030BF42E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erthana HN" refreshedDate="46292.645567129628" createdVersion="8" refreshedVersion="8" minRefreshableVersion="3" recordCount="14" xr:uid="{E0FB6C60-C06F-4F25-B652-8A52FCD53869}">
  <cacheSource type="worksheet">
    <worksheetSource ref="A1:G16" sheet="Sheet1"/>
  </cacheSource>
  <cacheFields count="7">
    <cacheField name="Employee" numFmtId="0">
      <sharedItems/>
    </cacheField>
    <cacheField name="Department" numFmtId="0">
      <sharedItems count="3">
        <s v="IT"/>
        <s v="HR"/>
        <s v="Sales"/>
      </sharedItems>
    </cacheField>
    <cacheField name="Product" numFmtId="0">
      <sharedItems count="3">
        <s v="Laptop"/>
        <s v="Monitor"/>
        <s v="Keyboard"/>
      </sharedItems>
    </cacheField>
    <cacheField name="Region" numFmtId="0">
      <sharedItems/>
    </cacheField>
    <cacheField name="Sales" numFmtId="0">
      <sharedItems containsSemiMixedTypes="0" containsString="0" containsNumber="1" containsInteger="1" minValue="12000" maxValue="68000"/>
    </cacheField>
    <cacheField name="Status" numFmtId="0">
      <sharedItems count="2">
        <s v="Completed"/>
        <s v="Pending"/>
      </sharedItems>
    </cacheField>
    <cacheField name="Sales_Level" numFmtId="2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erthana HN" refreshedDate="46292.657309259259" createdVersion="8" refreshedVersion="8" minRefreshableVersion="3" recordCount="3" xr:uid="{6503EC1E-D101-4348-986D-2635A3DA5826}">
  <cacheSource type="worksheet">
    <worksheetSource ref="A1:B4" sheet="Sheet2"/>
  </cacheSource>
  <cacheFields count="2">
    <cacheField name="Row Labels" numFmtId="0">
      <sharedItems/>
    </cacheField>
    <cacheField name="Sum of Sales" numFmtId="0">
      <sharedItems containsSemiMixedTypes="0" containsString="0" containsNumber="1" containsInteger="1" minValue="123000" maxValue="53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erthana HN" refreshedDate="46294.878884837963" createdVersion="8" refreshedVersion="8" minRefreshableVersion="3" recordCount="4" xr:uid="{27F67B78-CFDE-4436-B01A-1068D9D6E294}">
  <cacheSource type="worksheet">
    <worksheetSource name="Table6_1"/>
  </cacheSource>
  <cacheFields count="3">
    <cacheField name="Department" numFmtId="0">
      <sharedItems count="2">
        <s v="IT"/>
        <s v="HR"/>
      </sharedItems>
    </cacheField>
    <cacheField name="Attribute" numFmtId="0">
      <sharedItems count="2">
        <s v="Jan"/>
        <s v="Feb"/>
      </sharedItems>
    </cacheField>
    <cacheField name="Value" numFmtId="0">
      <sharedItems containsSemiMixedTypes="0" containsString="0" containsNumber="1" containsInteger="1" minValue="30000" maxValue="6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erthana HN" refreshedDate="46294.906845138888" createdVersion="8" refreshedVersion="8" minRefreshableVersion="3" recordCount="2" xr:uid="{787D24FD-B6C5-4221-8E08-D09AD0EB4852}">
  <cacheSource type="worksheet">
    <worksheetSource name="Table6"/>
  </cacheSource>
  <cacheFields count="3">
    <cacheField name="Department" numFmtId="0">
      <sharedItems count="2">
        <s v="IT"/>
        <s v="HR"/>
      </sharedItems>
    </cacheField>
    <cacheField name="Jan" numFmtId="0">
      <sharedItems containsSemiMixedTypes="0" containsString="0" containsNumber="1" containsInteger="1" minValue="30000" maxValue="50000"/>
    </cacheField>
    <cacheField name="Feb" numFmtId="0">
      <sharedItems containsSemiMixedTypes="0" containsString="0" containsNumber="1" containsInteger="1" minValue="40000" maxValue="6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">
  <r>
    <s v="Anu"/>
    <x v="0"/>
    <x v="0"/>
    <s v="South"/>
    <n v="45000"/>
    <x v="0"/>
    <s v="High"/>
  </r>
  <r>
    <s v="Ravi"/>
    <x v="1"/>
    <x v="1"/>
    <s v="North"/>
    <n v="18000"/>
    <x v="1"/>
    <s v="Normal"/>
  </r>
  <r>
    <s v="Priya"/>
    <x v="0"/>
    <x v="0"/>
    <s v="South"/>
    <n v="52000"/>
    <x v="0"/>
    <s v="High"/>
  </r>
  <r>
    <s v="Kiran"/>
    <x v="2"/>
    <x v="2"/>
    <s v="West"/>
    <n v="12000"/>
    <x v="1"/>
    <s v="Normal"/>
  </r>
  <r>
    <s v="Sneha"/>
    <x v="1"/>
    <x v="0"/>
    <s v="North"/>
    <n v="38000"/>
    <x v="0"/>
    <s v="High"/>
  </r>
  <r>
    <s v="Rahul"/>
    <x v="0"/>
    <x v="1"/>
    <s v="South"/>
    <n v="27000"/>
    <x v="1"/>
    <s v="Normal"/>
  </r>
  <r>
    <s v="Divya"/>
    <x v="2"/>
    <x v="0"/>
    <s v="West"/>
    <n v="61000"/>
    <x v="0"/>
    <s v="High"/>
  </r>
  <r>
    <s v="Arjun"/>
    <x v="0"/>
    <x v="2"/>
    <s v="East"/>
    <n v="15000"/>
    <x v="1"/>
    <s v="Normal"/>
  </r>
  <r>
    <s v="Meena"/>
    <x v="1"/>
    <x v="1"/>
    <s v="North"/>
    <n v="42000"/>
    <x v="0"/>
    <s v="High"/>
  </r>
  <r>
    <s v="Vijay"/>
    <x v="2"/>
    <x v="0"/>
    <s v="West"/>
    <n v="55000"/>
    <x v="0"/>
    <s v="High"/>
  </r>
  <r>
    <s v="Neha"/>
    <x v="0"/>
    <x v="1"/>
    <s v="East"/>
    <n v="29000"/>
    <x v="1"/>
    <s v="Normal"/>
  </r>
  <r>
    <s v="Asha"/>
    <x v="2"/>
    <x v="2"/>
    <s v="South"/>
    <n v="22000"/>
    <x v="1"/>
    <s v="Normal"/>
  </r>
  <r>
    <s v="Rohan"/>
    <x v="1"/>
    <x v="0"/>
    <s v="North"/>
    <n v="47000"/>
    <x v="0"/>
    <s v="High"/>
  </r>
  <r>
    <s v="Pooja"/>
    <x v="0"/>
    <x v="0"/>
    <s v="East"/>
    <n v="68000"/>
    <x v="0"/>
    <s v="High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">
  <r>
    <s v="Completed"/>
    <n v="408000"/>
  </r>
  <r>
    <s v="Pending"/>
    <n v="123000"/>
  </r>
  <r>
    <s v="Grand Total"/>
    <n v="53100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">
  <r>
    <x v="0"/>
    <x v="0"/>
    <n v="50000"/>
  </r>
  <r>
    <x v="0"/>
    <x v="1"/>
    <n v="60000"/>
  </r>
  <r>
    <x v="1"/>
    <x v="0"/>
    <n v="30000"/>
  </r>
  <r>
    <x v="1"/>
    <x v="1"/>
    <n v="4000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">
  <r>
    <x v="0"/>
    <n v="50000"/>
    <n v="60000"/>
  </r>
  <r>
    <x v="1"/>
    <n v="30000"/>
    <n v="40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75B911-2106-4DDE-B6AE-E11B7E7DBACB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E1:G18" firstHeaderRow="1" firstDataRow="1" firstDataCol="0"/>
  <pivotFields count="2">
    <pivotField showAll="0"/>
    <pivotField showAll="0"/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B22D88-587A-4219-89A6-E392478ED00A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1:B4" firstHeaderRow="1" firstDataRow="1" firstDataCol="1"/>
  <pivotFields count="7">
    <pivotField showAll="0"/>
    <pivotField showAll="0"/>
    <pivotField showAll="0"/>
    <pivotField showAll="0"/>
    <pivotField dataField="1" showAll="0"/>
    <pivotField axis="axisRow" showAll="0">
      <items count="3">
        <item x="0"/>
        <item x="1"/>
        <item t="default"/>
      </items>
    </pivotField>
    <pivotField showAll="0"/>
  </pivotFields>
  <rowFields count="1">
    <field x="5"/>
  </rowFields>
  <rowItems count="3">
    <i>
      <x/>
    </i>
    <i>
      <x v="1"/>
    </i>
    <i t="grand">
      <x/>
    </i>
  </rowItems>
  <colItems count="1">
    <i/>
  </colItems>
  <dataFields count="1">
    <dataField name="Sum of Sales" fld="4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51B2B0E-EB84-403B-BB08-BFDC8675954E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10:B14" firstHeaderRow="1" firstDataRow="1" firstDataCol="1"/>
  <pivotFields count="7">
    <pivotField showAll="0"/>
    <pivotField showAll="0"/>
    <pivotField axis="axisRow" showAll="0">
      <items count="4">
        <item x="2"/>
        <item x="0"/>
        <item x="1"/>
        <item t="default"/>
      </items>
    </pivotField>
    <pivotField showAll="0"/>
    <pivotField dataField="1" showAll="0"/>
    <pivotField showAll="0"/>
    <pivotField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Sales" fld="4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99F66A-DD35-4B36-A17B-C230E79ED6C9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Department">
  <location ref="A3:B7" firstHeaderRow="1" firstDataRow="1" firstDataCol="1"/>
  <pivotFields count="7">
    <pivotField showAll="0"/>
    <pivotField axis="axisRow" showAll="0">
      <items count="4">
        <item x="1"/>
        <item x="0"/>
        <item x="2"/>
        <item t="default"/>
      </items>
    </pivotField>
    <pivotField showAll="0"/>
    <pivotField showAll="0"/>
    <pivotField dataField="1" showAll="0"/>
    <pivotField showAll="0"/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Sales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05F1D2-3DC8-4B8C-A262-FC206C9503C9}" name="PivotTable3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5">
  <location ref="D3:F6" firstHeaderRow="0" firstDataRow="1" firstDataCol="1"/>
  <pivotFields count="3">
    <pivotField axis="axisRow" showAll="0">
      <items count="3">
        <item x="1"/>
        <item x="0"/>
        <item t="default"/>
      </items>
    </pivotField>
    <pivotField dataField="1" showAll="0"/>
    <pivotField dataField="1" showAll="0"/>
  </pivotFields>
  <rowFields count="1">
    <field x="0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Jan" fld="1" baseField="0" baseItem="0"/>
    <dataField name="Sum of Feb" fld="2" baseField="0" baseItem="0"/>
  </dataFields>
  <chartFormats count="4"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9B4C61-A7F8-4830-B61B-636ECF0555DD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7">
  <location ref="A3:B10" firstHeaderRow="1" firstDataRow="1" firstDataCol="1"/>
  <pivotFields count="3">
    <pivotField axis="axisRow" showAll="0">
      <items count="3">
        <item x="1"/>
        <item x="0"/>
        <item t="default"/>
      </items>
    </pivotField>
    <pivotField axis="axisRow" showAll="0">
      <items count="3">
        <item x="0"/>
        <item x="1"/>
        <item t="default"/>
      </items>
    </pivotField>
    <pivotField dataField="1" showAll="0"/>
  </pivotFields>
  <rowFields count="2">
    <field x="0"/>
    <field x="1"/>
  </rowFields>
  <rowItems count="7">
    <i>
      <x/>
    </i>
    <i r="1">
      <x/>
    </i>
    <i r="1">
      <x v="1"/>
    </i>
    <i>
      <x v="1"/>
    </i>
    <i r="1">
      <x/>
    </i>
    <i r="1">
      <x v="1"/>
    </i>
    <i t="grand">
      <x/>
    </i>
  </rowItems>
  <colItems count="1">
    <i/>
  </colItems>
  <dataFields count="1">
    <dataField name="Sum of Value" fld="2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21DB8CAF-A15D-4A89-BCF1-F0652D9BBB9A}" autoFormatId="16" applyNumberFormats="0" applyBorderFormats="0" applyFontFormats="0" applyPatternFormats="0" applyAlignmentFormats="0" applyWidthHeightFormats="0">
  <queryTableRefresh nextId="10">
    <queryTableFields count="2">
      <queryTableField id="2" name="Department" tableColumnId="2"/>
      <queryTableField id="9" name="Total Sales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4929EFA2-6688-4EAC-BDC7-3811A472A52B}" autoFormatId="16" applyNumberFormats="0" applyBorderFormats="0" applyFontFormats="0" applyPatternFormats="0" applyAlignmentFormats="0" applyWidthHeightFormats="0">
  <queryTableRefresh nextId="17">
    <queryTableFields count="8">
      <queryTableField id="1" name="Employee" tableColumnId="1"/>
      <queryTableField id="2" name="Department" tableColumnId="2"/>
      <queryTableField id="3" name="Product" tableColumnId="3"/>
      <queryTableField id="4" name="Region" tableColumnId="4"/>
      <queryTableField id="5" name="Sales" tableColumnId="5"/>
      <queryTableField id="6" name="Status" tableColumnId="6"/>
      <queryTableField id="7" name="Sales_Level" tableColumnId="7"/>
      <queryTableField id="16" name="Table1.Total Sales" tableColumnId="16"/>
    </queryTableFields>
    <queryTableDeletedFields count="6">
      <deletedField name="Column6"/>
      <deletedField name="Pending_Employees"/>
      <deletedField name="Column2"/>
      <deletedField name="Column3"/>
      <deletedField name="Column4"/>
      <deletedField name="Column5"/>
    </queryTableDeleted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4ADD6640-3C50-42AB-8F39-1079302963F8}" autoFormatId="16" applyNumberFormats="0" applyBorderFormats="0" applyFontFormats="0" applyPatternFormats="0" applyAlignmentFormats="0" applyWidthHeightFormats="0">
  <queryTableRefresh nextId="3">
    <queryTableFields count="2">
      <queryTableField id="1" name="Department" tableColumnId="1"/>
      <queryTableField id="2" name="Total Sales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0A12E625-DD8F-418E-A7ED-74B4CE845492}" autoFormatId="16" applyNumberFormats="0" applyBorderFormats="0" applyFontFormats="0" applyPatternFormats="0" applyAlignmentFormats="0" applyWidthHeightFormats="0">
  <queryTableRefresh nextId="4">
    <queryTableFields count="3">
      <queryTableField id="1" name="Department" tableColumnId="1"/>
      <queryTableField id="2" name="Attribute" tableColumnId="2"/>
      <queryTableField id="3" name="Value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96A2170-9F5F-4C22-8238-CAA8A07959CF}" name="Table1_1" displayName="Table1_1" ref="A1:B4" tableType="queryTable" totalsRowShown="0">
  <autoFilter ref="A1:B4" xr:uid="{B96A2170-9F5F-4C22-8238-CAA8A07959CF}"/>
  <tableColumns count="2">
    <tableColumn id="2" xr3:uid="{F91FB6A5-7BE5-4303-B08E-5451AB25B4FA}" uniqueName="2" name="Department" queryTableFieldId="2" dataDxfId="10"/>
    <tableColumn id="9" xr3:uid="{D73FF34E-F543-4863-AE36-F7061A295B41}" uniqueName="9" name="Total Sales" queryTableFieldId="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8752CF7-D0BE-4F13-9D7B-506D91CF1B01}" name="Table1__2" displayName="Table1__2" ref="A1:H15" tableType="queryTable" totalsRowShown="0">
  <autoFilter ref="A1:H15" xr:uid="{D8752CF7-D0BE-4F13-9D7B-506D91CF1B01}"/>
  <tableColumns count="8">
    <tableColumn id="1" xr3:uid="{BC9B32BA-589E-4779-AA68-E2B457B8F21E}" uniqueName="1" name="Employee" queryTableFieldId="1" dataDxfId="9"/>
    <tableColumn id="2" xr3:uid="{690A1CDF-CABB-4DE5-AE3E-2ECEE9E3C82F}" uniqueName="2" name="Department" queryTableFieldId="2" dataDxfId="8"/>
    <tableColumn id="3" xr3:uid="{C325E62C-73FD-45B2-8FFA-CC427F8A78EE}" uniqueName="3" name="Product" queryTableFieldId="3" dataDxfId="7"/>
    <tableColumn id="4" xr3:uid="{35E7D3A0-FF05-4FC3-91D4-397C858672AD}" uniqueName="4" name="Region" queryTableFieldId="4" dataDxfId="6"/>
    <tableColumn id="5" xr3:uid="{16193196-0501-4C12-8D24-D92B17D23BFD}" uniqueName="5" name="Sales" queryTableFieldId="5"/>
    <tableColumn id="6" xr3:uid="{0FFB09EE-38B5-4335-B413-F1ADDD10A9E8}" uniqueName="6" name="Status" queryTableFieldId="6" dataDxfId="5"/>
    <tableColumn id="7" xr3:uid="{582EAD4F-73B9-4AD3-9CCA-FC210B687302}" uniqueName="7" name="Sales_Level" queryTableFieldId="7" dataDxfId="4"/>
    <tableColumn id="16" xr3:uid="{1AA88215-3294-40D3-BE09-891280BEA668}" uniqueName="16" name="Table1.Total Sales" queryTableFieldId="1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EE9D83B-5674-4CF5-9502-C6353870AAD4}" name="Table1" displayName="Table1" ref="A1:G16" totalsRowShown="0">
  <autoFilter ref="A1:G16" xr:uid="{5EE9D83B-5674-4CF5-9502-C6353870AAD4}"/>
  <tableColumns count="7">
    <tableColumn id="1" xr3:uid="{8B5FD06D-6A23-4BC6-96E5-29BB7FAB1CBD}" name="Employee"/>
    <tableColumn id="2" xr3:uid="{4C4FEEDE-D16B-43BF-95B5-165528C2D7E7}" name="Department"/>
    <tableColumn id="3" xr3:uid="{9F9C901E-FA88-491E-A397-49E0584DB721}" name="Product"/>
    <tableColumn id="4" xr3:uid="{637C5564-0D9E-4E86-B038-C9FF52793FEE}" name="Region"/>
    <tableColumn id="5" xr3:uid="{2342060F-3C0C-4E05-B83D-D1C02F2E83A1}" name="Sales"/>
    <tableColumn id="6" xr3:uid="{6359C7FB-B341-48B4-88DD-BD6593EBD2BC}" name="Status"/>
    <tableColumn id="7" xr3:uid="{B3BB0156-B627-471B-ACBB-CE1F3E4E0474}" name="Sales_Leve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9C74DAC-EFCA-425D-B9D9-6C081B1DE985}" name="Table4_1" displayName="Table4_1" ref="A1:B6" tableType="queryTable" totalsRowShown="0">
  <autoFilter ref="A1:B6" xr:uid="{C9C74DAC-EFCA-425D-B9D9-6C081B1DE985}"/>
  <tableColumns count="2">
    <tableColumn id="1" xr3:uid="{8733B9EB-83FD-4C44-9085-C22EE77E535E}" uniqueName="1" name="Department" queryTableFieldId="1" dataDxfId="3"/>
    <tableColumn id="2" xr3:uid="{6412D38D-178A-4918-951F-827B965594BF}" uniqueName="2" name="Total Sales" queryTableField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C88158B-548A-4AA5-8E2B-940D2E433246}" name="Table6_1" displayName="Table6_1" ref="A1:C5" tableType="queryTable" totalsRowShown="0">
  <autoFilter ref="A1:C5" xr:uid="{9C88158B-548A-4AA5-8E2B-940D2E433246}"/>
  <tableColumns count="3">
    <tableColumn id="1" xr3:uid="{45FBB706-495C-46A6-818C-C92117EFA0CF}" uniqueName="1" name="Department" queryTableFieldId="1" dataDxfId="2"/>
    <tableColumn id="2" xr3:uid="{116A516E-9378-4BEF-AB51-ED80EF0828F1}" uniqueName="2" name="Attribute" queryTableFieldId="2" dataDxfId="1"/>
    <tableColumn id="3" xr3:uid="{800C4588-7B31-465F-AA73-F7496DDAC830}" uniqueName="3" name="Value" queryTableFieldId="3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F86E7E9-C921-487D-998F-ED190796D1C8}" name="Table4" displayName="Table4" ref="A1:B3" totalsRowShown="0">
  <autoFilter ref="A1:B3" xr:uid="{BF86E7E9-C921-487D-998F-ED190796D1C8}"/>
  <tableColumns count="2">
    <tableColumn id="1" xr3:uid="{FA8F383E-92DC-4A2A-8C54-A83F7B23A2D7}" name="Department"/>
    <tableColumn id="2" xr3:uid="{06CEE6AE-E4B5-44AD-BEE7-42E4281563E1}" name="Total Sal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3058404-FB30-41D9-A2EC-F971EEC9238C}" name="Table6" displayName="Table6" ref="D1:F3" totalsRowShown="0">
  <autoFilter ref="D1:F3" xr:uid="{F3058404-FB30-41D9-A2EC-F971EEC9238C}"/>
  <tableColumns count="3">
    <tableColumn id="1" xr3:uid="{71FE6DBF-3974-472C-89B8-0EC6ABC41830}" name="Department"/>
    <tableColumn id="2" xr3:uid="{1F52DF27-9603-40E5-BC8F-9C6859CC0B5B}" name="Jan"/>
    <tableColumn id="3" xr3:uid="{A830865D-03F9-413F-860D-CF006A33AA5E}" name="Feb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5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65EB2-C29D-4078-8E0C-D73F289FFABA}">
  <dimension ref="A1:G18"/>
  <sheetViews>
    <sheetView workbookViewId="0">
      <selection activeCell="A2" sqref="A2"/>
    </sheetView>
  </sheetViews>
  <sheetFormatPr defaultRowHeight="14.4" x14ac:dyDescent="0.3"/>
  <cols>
    <col min="1" max="1" width="12.44140625" bestFit="1" customWidth="1"/>
    <col min="2" max="2" width="11.5546875" bestFit="1" customWidth="1"/>
  </cols>
  <sheetData>
    <row r="1" spans="1:7" x14ac:dyDescent="0.3">
      <c r="A1" s="11" t="s">
        <v>34</v>
      </c>
      <c r="B1" t="s">
        <v>36</v>
      </c>
      <c r="E1" s="2"/>
      <c r="F1" s="3"/>
      <c r="G1" s="4"/>
    </row>
    <row r="2" spans="1:7" x14ac:dyDescent="0.3">
      <c r="A2" s="12" t="s">
        <v>10</v>
      </c>
      <c r="B2">
        <v>408000</v>
      </c>
      <c r="E2" s="5"/>
      <c r="F2" s="6"/>
      <c r="G2" s="7"/>
    </row>
    <row r="3" spans="1:7" x14ac:dyDescent="0.3">
      <c r="A3" s="12" t="s">
        <v>15</v>
      </c>
      <c r="B3">
        <v>123000</v>
      </c>
      <c r="E3" s="5"/>
      <c r="F3" s="6"/>
      <c r="G3" s="7"/>
    </row>
    <row r="4" spans="1:7" x14ac:dyDescent="0.3">
      <c r="A4" s="12" t="s">
        <v>35</v>
      </c>
      <c r="B4">
        <v>531000</v>
      </c>
      <c r="E4" s="5"/>
      <c r="F4" s="6"/>
      <c r="G4" s="7"/>
    </row>
    <row r="5" spans="1:7" x14ac:dyDescent="0.3">
      <c r="E5" s="5"/>
      <c r="F5" s="6"/>
      <c r="G5" s="7"/>
    </row>
    <row r="6" spans="1:7" x14ac:dyDescent="0.3">
      <c r="E6" s="5"/>
      <c r="F6" s="6"/>
      <c r="G6" s="7"/>
    </row>
    <row r="7" spans="1:7" x14ac:dyDescent="0.3">
      <c r="E7" s="5"/>
      <c r="F7" s="6"/>
      <c r="G7" s="7"/>
    </row>
    <row r="8" spans="1:7" x14ac:dyDescent="0.3">
      <c r="E8" s="5"/>
      <c r="F8" s="6"/>
      <c r="G8" s="7"/>
    </row>
    <row r="9" spans="1:7" x14ac:dyDescent="0.3">
      <c r="E9" s="5"/>
      <c r="F9" s="6"/>
      <c r="G9" s="7"/>
    </row>
    <row r="10" spans="1:7" x14ac:dyDescent="0.3">
      <c r="A10" s="11" t="s">
        <v>34</v>
      </c>
      <c r="B10" t="s">
        <v>36</v>
      </c>
      <c r="E10" s="5"/>
      <c r="F10" s="6"/>
      <c r="G10" s="7"/>
    </row>
    <row r="11" spans="1:7" x14ac:dyDescent="0.3">
      <c r="A11" s="12" t="s">
        <v>18</v>
      </c>
      <c r="B11">
        <v>49000</v>
      </c>
      <c r="E11" s="5"/>
      <c r="F11" s="6"/>
      <c r="G11" s="7"/>
    </row>
    <row r="12" spans="1:7" x14ac:dyDescent="0.3">
      <c r="A12" s="12" t="s">
        <v>8</v>
      </c>
      <c r="B12">
        <v>366000</v>
      </c>
      <c r="E12" s="5"/>
      <c r="F12" s="6"/>
      <c r="G12" s="7"/>
    </row>
    <row r="13" spans="1:7" x14ac:dyDescent="0.3">
      <c r="A13" s="12" t="s">
        <v>13</v>
      </c>
      <c r="B13">
        <v>116000</v>
      </c>
      <c r="E13" s="5"/>
      <c r="F13" s="6"/>
      <c r="G13" s="7"/>
    </row>
    <row r="14" spans="1:7" x14ac:dyDescent="0.3">
      <c r="A14" s="12" t="s">
        <v>35</v>
      </c>
      <c r="B14">
        <v>531000</v>
      </c>
      <c r="E14" s="5"/>
      <c r="F14" s="6"/>
      <c r="G14" s="7"/>
    </row>
    <row r="15" spans="1:7" x14ac:dyDescent="0.3">
      <c r="E15" s="5"/>
      <c r="F15" s="6"/>
      <c r="G15" s="7"/>
    </row>
    <row r="16" spans="1:7" x14ac:dyDescent="0.3">
      <c r="E16" s="5"/>
      <c r="F16" s="6"/>
      <c r="G16" s="7"/>
    </row>
    <row r="17" spans="5:7" x14ac:dyDescent="0.3">
      <c r="E17" s="5"/>
      <c r="F17" s="6"/>
      <c r="G17" s="7"/>
    </row>
    <row r="18" spans="5:7" x14ac:dyDescent="0.3">
      <c r="E18" s="8"/>
      <c r="F18" s="9"/>
      <c r="G18" s="10"/>
    </row>
  </sheetData>
  <pageMargins left="0.7" right="0.7" top="0.75" bottom="0.75" header="0.3" footer="0.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926DE-DC97-4741-BA5F-FCB15663FBB4}">
  <dimension ref="A3:B7"/>
  <sheetViews>
    <sheetView workbookViewId="0">
      <selection activeCell="A3" sqref="A3"/>
    </sheetView>
  </sheetViews>
  <sheetFormatPr defaultRowHeight="14.4" x14ac:dyDescent="0.3"/>
  <cols>
    <col min="1" max="1" width="12.44140625" bestFit="1" customWidth="1"/>
    <col min="2" max="2" width="11.5546875" bestFit="1" customWidth="1"/>
  </cols>
  <sheetData>
    <row r="3" spans="1:2" x14ac:dyDescent="0.3">
      <c r="A3" s="11" t="s">
        <v>1</v>
      </c>
      <c r="B3" t="s">
        <v>36</v>
      </c>
    </row>
    <row r="4" spans="1:2" x14ac:dyDescent="0.3">
      <c r="A4" s="12" t="s">
        <v>12</v>
      </c>
      <c r="B4">
        <v>145000</v>
      </c>
    </row>
    <row r="5" spans="1:2" x14ac:dyDescent="0.3">
      <c r="A5" s="12" t="s">
        <v>7</v>
      </c>
      <c r="B5">
        <v>236000</v>
      </c>
    </row>
    <row r="6" spans="1:2" x14ac:dyDescent="0.3">
      <c r="A6" s="12" t="s">
        <v>4</v>
      </c>
      <c r="B6">
        <v>150000</v>
      </c>
    </row>
    <row r="7" spans="1:2" x14ac:dyDescent="0.3">
      <c r="A7" s="12" t="s">
        <v>35</v>
      </c>
      <c r="B7">
        <v>531000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9A95B8-DECB-4BAA-BF59-28B8ACFCD970}">
  <dimension ref="A1:B4"/>
  <sheetViews>
    <sheetView workbookViewId="0">
      <selection sqref="A1:B4"/>
    </sheetView>
  </sheetViews>
  <sheetFormatPr defaultRowHeight="14.4" x14ac:dyDescent="0.3"/>
  <cols>
    <col min="1" max="1" width="13.21875" bestFit="1" customWidth="1"/>
    <col min="2" max="2" width="12.21875" bestFit="1" customWidth="1"/>
    <col min="3" max="3" width="13.21875" bestFit="1" customWidth="1"/>
    <col min="4" max="4" width="9.77734375" bestFit="1" customWidth="1"/>
    <col min="5" max="5" width="8.77734375" bestFit="1" customWidth="1"/>
    <col min="6" max="6" width="7.77734375" bestFit="1" customWidth="1"/>
    <col min="7" max="7" width="9.77734375" bestFit="1" customWidth="1"/>
    <col min="8" max="8" width="12.88671875" bestFit="1" customWidth="1"/>
    <col min="9" max="9" width="16" bestFit="1" customWidth="1"/>
  </cols>
  <sheetData>
    <row r="1" spans="1:2" x14ac:dyDescent="0.3">
      <c r="A1" t="s">
        <v>1</v>
      </c>
      <c r="B1" t="s">
        <v>42</v>
      </c>
    </row>
    <row r="2" spans="1:2" x14ac:dyDescent="0.3">
      <c r="A2" t="s">
        <v>7</v>
      </c>
      <c r="B2">
        <v>166000</v>
      </c>
    </row>
    <row r="3" spans="1:2" x14ac:dyDescent="0.3">
      <c r="A3" t="s">
        <v>12</v>
      </c>
      <c r="B3">
        <v>127000</v>
      </c>
    </row>
    <row r="4" spans="1:2" x14ac:dyDescent="0.3">
      <c r="A4" t="s">
        <v>4</v>
      </c>
      <c r="B4">
        <v>116000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8B4F3-BF6C-4508-9FEE-182328B0CF87}">
  <dimension ref="A1:M15"/>
  <sheetViews>
    <sheetView workbookViewId="0">
      <selection sqref="A1:G15"/>
    </sheetView>
  </sheetViews>
  <sheetFormatPr defaultRowHeight="14.4" x14ac:dyDescent="0.3"/>
  <cols>
    <col min="1" max="1" width="11.44140625" bestFit="1" customWidth="1"/>
    <col min="2" max="2" width="13.21875" bestFit="1" customWidth="1"/>
    <col min="3" max="3" width="9.77734375" bestFit="1" customWidth="1"/>
    <col min="4" max="4" width="8.77734375" bestFit="1" customWidth="1"/>
    <col min="5" max="5" width="7.77734375" bestFit="1" customWidth="1"/>
    <col min="6" max="6" width="9.77734375" bestFit="1" customWidth="1"/>
    <col min="7" max="7" width="12.88671875" bestFit="1" customWidth="1"/>
    <col min="8" max="8" width="18.44140625" bestFit="1" customWidth="1"/>
    <col min="9" max="9" width="15.6640625" bestFit="1" customWidth="1"/>
    <col min="10" max="10" width="11.109375" bestFit="1" customWidth="1"/>
    <col min="11" max="11" width="20" bestFit="1" customWidth="1"/>
    <col min="12" max="16" width="10.6640625" bestFit="1" customWidth="1"/>
  </cols>
  <sheetData>
    <row r="1" spans="1:1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31</v>
      </c>
      <c r="H1" t="s">
        <v>44</v>
      </c>
      <c r="I1" t="s">
        <v>32</v>
      </c>
      <c r="J1" t="s">
        <v>37</v>
      </c>
      <c r="K1" t="s">
        <v>38</v>
      </c>
      <c r="L1" t="s">
        <v>39</v>
      </c>
      <c r="M1" t="s">
        <v>40</v>
      </c>
    </row>
    <row r="2" spans="1:13" x14ac:dyDescent="0.3">
      <c r="A2" t="s">
        <v>6</v>
      </c>
      <c r="B2" t="s">
        <v>7</v>
      </c>
      <c r="C2" t="s">
        <v>8</v>
      </c>
      <c r="D2" t="s">
        <v>9</v>
      </c>
      <c r="E2">
        <v>46000</v>
      </c>
      <c r="F2" t="s">
        <v>10</v>
      </c>
      <c r="G2" t="s">
        <v>41</v>
      </c>
      <c r="H2">
        <v>166000</v>
      </c>
    </row>
    <row r="3" spans="1:13" x14ac:dyDescent="0.3">
      <c r="A3" t="s">
        <v>16</v>
      </c>
      <c r="B3" t="s">
        <v>7</v>
      </c>
      <c r="C3" t="s">
        <v>8</v>
      </c>
      <c r="D3" t="s">
        <v>9</v>
      </c>
      <c r="E3">
        <v>52000</v>
      </c>
      <c r="F3" t="s">
        <v>10</v>
      </c>
      <c r="G3" t="s">
        <v>41</v>
      </c>
      <c r="H3">
        <v>166000</v>
      </c>
    </row>
    <row r="4" spans="1:13" x14ac:dyDescent="0.3">
      <c r="A4" t="s">
        <v>11</v>
      </c>
      <c r="B4" t="s">
        <v>12</v>
      </c>
      <c r="C4" t="s">
        <v>13</v>
      </c>
      <c r="D4" t="s">
        <v>14</v>
      </c>
      <c r="E4">
        <v>18000</v>
      </c>
      <c r="F4" t="s">
        <v>15</v>
      </c>
      <c r="G4" t="s">
        <v>43</v>
      </c>
      <c r="H4">
        <v>127000</v>
      </c>
    </row>
    <row r="5" spans="1:13" x14ac:dyDescent="0.3">
      <c r="A5" t="s">
        <v>17</v>
      </c>
      <c r="B5" t="s">
        <v>4</v>
      </c>
      <c r="C5" t="s">
        <v>18</v>
      </c>
      <c r="D5" t="s">
        <v>19</v>
      </c>
      <c r="E5">
        <v>12000</v>
      </c>
      <c r="F5" t="s">
        <v>15</v>
      </c>
      <c r="G5" t="s">
        <v>43</v>
      </c>
      <c r="H5">
        <v>116000</v>
      </c>
    </row>
    <row r="6" spans="1:13" x14ac:dyDescent="0.3">
      <c r="A6" t="s">
        <v>20</v>
      </c>
      <c r="B6" t="s">
        <v>12</v>
      </c>
      <c r="C6" t="s">
        <v>8</v>
      </c>
      <c r="D6" t="s">
        <v>14</v>
      </c>
      <c r="E6">
        <v>38000</v>
      </c>
      <c r="F6" t="s">
        <v>10</v>
      </c>
      <c r="G6" t="s">
        <v>41</v>
      </c>
      <c r="H6">
        <v>127000</v>
      </c>
    </row>
    <row r="7" spans="1:13" x14ac:dyDescent="0.3">
      <c r="A7" t="s">
        <v>21</v>
      </c>
      <c r="B7" t="s">
        <v>7</v>
      </c>
      <c r="C7" t="s">
        <v>13</v>
      </c>
      <c r="D7" t="s">
        <v>9</v>
      </c>
      <c r="E7">
        <v>27000</v>
      </c>
      <c r="F7" t="s">
        <v>15</v>
      </c>
      <c r="G7" t="s">
        <v>43</v>
      </c>
      <c r="H7">
        <v>166000</v>
      </c>
    </row>
    <row r="8" spans="1:13" x14ac:dyDescent="0.3">
      <c r="A8" t="s">
        <v>22</v>
      </c>
      <c r="B8" t="s">
        <v>4</v>
      </c>
      <c r="C8" t="s">
        <v>8</v>
      </c>
      <c r="D8" t="s">
        <v>19</v>
      </c>
      <c r="E8">
        <v>61000</v>
      </c>
      <c r="F8" t="s">
        <v>10</v>
      </c>
      <c r="G8" t="s">
        <v>41</v>
      </c>
      <c r="H8">
        <v>116000</v>
      </c>
    </row>
    <row r="9" spans="1:13" x14ac:dyDescent="0.3">
      <c r="A9" t="s">
        <v>23</v>
      </c>
      <c r="B9" t="s">
        <v>7</v>
      </c>
      <c r="C9" t="s">
        <v>18</v>
      </c>
      <c r="D9" t="s">
        <v>24</v>
      </c>
      <c r="E9">
        <v>15000</v>
      </c>
      <c r="F9" t="s">
        <v>15</v>
      </c>
      <c r="G9" t="s">
        <v>43</v>
      </c>
      <c r="H9">
        <v>166000</v>
      </c>
      <c r="I9" t="s">
        <v>33</v>
      </c>
    </row>
    <row r="10" spans="1:13" x14ac:dyDescent="0.3">
      <c r="A10" t="s">
        <v>25</v>
      </c>
      <c r="B10" t="s">
        <v>12</v>
      </c>
      <c r="C10" t="s">
        <v>13</v>
      </c>
      <c r="D10" t="s">
        <v>14</v>
      </c>
      <c r="E10">
        <v>42000</v>
      </c>
      <c r="F10" t="s">
        <v>10</v>
      </c>
      <c r="G10" t="s">
        <v>41</v>
      </c>
      <c r="H10">
        <v>127000</v>
      </c>
    </row>
    <row r="11" spans="1:13" x14ac:dyDescent="0.3">
      <c r="A11" t="s">
        <v>26</v>
      </c>
      <c r="B11" t="s">
        <v>4</v>
      </c>
      <c r="C11" t="s">
        <v>8</v>
      </c>
      <c r="D11" t="s">
        <v>19</v>
      </c>
      <c r="E11">
        <v>55000</v>
      </c>
      <c r="F11" t="s">
        <v>10</v>
      </c>
      <c r="G11" t="s">
        <v>41</v>
      </c>
      <c r="H11">
        <v>116000</v>
      </c>
    </row>
    <row r="12" spans="1:13" x14ac:dyDescent="0.3">
      <c r="A12" t="s">
        <v>27</v>
      </c>
      <c r="B12" t="s">
        <v>7</v>
      </c>
      <c r="C12" t="s">
        <v>13</v>
      </c>
      <c r="D12" t="s">
        <v>24</v>
      </c>
      <c r="E12">
        <v>29000</v>
      </c>
      <c r="F12" t="s">
        <v>15</v>
      </c>
      <c r="G12" t="s">
        <v>43</v>
      </c>
      <c r="H12">
        <v>166000</v>
      </c>
    </row>
    <row r="13" spans="1:13" x14ac:dyDescent="0.3">
      <c r="A13" t="s">
        <v>28</v>
      </c>
      <c r="B13" t="s">
        <v>4</v>
      </c>
      <c r="C13" t="s">
        <v>18</v>
      </c>
      <c r="D13" t="s">
        <v>9</v>
      </c>
      <c r="E13">
        <v>22000</v>
      </c>
      <c r="F13" t="s">
        <v>15</v>
      </c>
      <c r="G13" t="s">
        <v>43</v>
      </c>
      <c r="H13">
        <v>116000</v>
      </c>
    </row>
    <row r="14" spans="1:13" x14ac:dyDescent="0.3">
      <c r="A14" t="s">
        <v>29</v>
      </c>
      <c r="B14" t="s">
        <v>12</v>
      </c>
      <c r="C14" t="s">
        <v>8</v>
      </c>
      <c r="D14" t="s">
        <v>14</v>
      </c>
      <c r="E14">
        <v>47000</v>
      </c>
      <c r="F14" t="s">
        <v>10</v>
      </c>
      <c r="G14" t="s">
        <v>41</v>
      </c>
      <c r="H14">
        <v>127000</v>
      </c>
    </row>
    <row r="15" spans="1:13" x14ac:dyDescent="0.3">
      <c r="A15" t="s">
        <v>30</v>
      </c>
      <c r="B15" t="s">
        <v>7</v>
      </c>
      <c r="C15" t="s">
        <v>8</v>
      </c>
      <c r="D15" t="s">
        <v>24</v>
      </c>
      <c r="E15">
        <v>68000</v>
      </c>
      <c r="F15" t="s">
        <v>10</v>
      </c>
      <c r="G15" t="s">
        <v>41</v>
      </c>
      <c r="H15">
        <v>166000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B6B3C-9FC8-4158-9845-DFCC95A8D273}">
  <dimension ref="A1:G15"/>
  <sheetViews>
    <sheetView zoomScale="86" workbookViewId="0">
      <selection activeCell="I17" sqref="I17"/>
    </sheetView>
  </sheetViews>
  <sheetFormatPr defaultRowHeight="14.4" x14ac:dyDescent="0.3"/>
  <cols>
    <col min="1" max="1" width="11.109375" customWidth="1"/>
    <col min="2" max="2" width="12.88671875" customWidth="1"/>
    <col min="3" max="3" width="9.44140625" customWidth="1"/>
    <col min="6" max="6" width="12.33203125" customWidth="1"/>
    <col min="7" max="7" width="24.44140625" customWidth="1"/>
    <col min="8" max="14" width="16.44140625" customWidth="1"/>
    <col min="15" max="15" width="10.33203125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31</v>
      </c>
    </row>
    <row r="2" spans="1:7" x14ac:dyDescent="0.3">
      <c r="A2" t="s">
        <v>6</v>
      </c>
      <c r="B2" t="s">
        <v>7</v>
      </c>
      <c r="C2" t="s">
        <v>8</v>
      </c>
      <c r="D2" t="s">
        <v>9</v>
      </c>
      <c r="E2">
        <v>46000</v>
      </c>
      <c r="F2" t="s">
        <v>10</v>
      </c>
      <c r="G2" s="1" t="str">
        <f>IF(E2&gt;30000,"High","Normal")</f>
        <v>High</v>
      </c>
    </row>
    <row r="3" spans="1:7" x14ac:dyDescent="0.3">
      <c r="A3" t="s">
        <v>11</v>
      </c>
      <c r="B3" t="s">
        <v>12</v>
      </c>
      <c r="C3" t="s">
        <v>13</v>
      </c>
      <c r="D3" t="s">
        <v>14</v>
      </c>
      <c r="E3">
        <v>18000</v>
      </c>
      <c r="F3" t="s">
        <v>15</v>
      </c>
      <c r="G3" s="1" t="str">
        <f t="shared" ref="G3:G15" si="0">IF(E3&gt;30000,"High","Normal")</f>
        <v>Normal</v>
      </c>
    </row>
    <row r="4" spans="1:7" x14ac:dyDescent="0.3">
      <c r="A4" t="s">
        <v>16</v>
      </c>
      <c r="B4" t="s">
        <v>7</v>
      </c>
      <c r="C4" t="s">
        <v>8</v>
      </c>
      <c r="D4" t="s">
        <v>9</v>
      </c>
      <c r="E4">
        <v>52000</v>
      </c>
      <c r="F4" t="s">
        <v>10</v>
      </c>
      <c r="G4" s="1" t="str">
        <f t="shared" si="0"/>
        <v>High</v>
      </c>
    </row>
    <row r="5" spans="1:7" x14ac:dyDescent="0.3">
      <c r="A5" t="s">
        <v>17</v>
      </c>
      <c r="B5" t="s">
        <v>4</v>
      </c>
      <c r="C5" t="s">
        <v>18</v>
      </c>
      <c r="D5" t="s">
        <v>19</v>
      </c>
      <c r="E5">
        <v>12000</v>
      </c>
      <c r="F5" t="s">
        <v>15</v>
      </c>
      <c r="G5" s="1" t="str">
        <f t="shared" si="0"/>
        <v>Normal</v>
      </c>
    </row>
    <row r="6" spans="1:7" x14ac:dyDescent="0.3">
      <c r="A6" t="s">
        <v>20</v>
      </c>
      <c r="B6" t="s">
        <v>12</v>
      </c>
      <c r="C6" t="s">
        <v>8</v>
      </c>
      <c r="D6" t="s">
        <v>14</v>
      </c>
      <c r="E6">
        <v>38000</v>
      </c>
      <c r="F6" t="s">
        <v>10</v>
      </c>
      <c r="G6" s="1" t="str">
        <f t="shared" si="0"/>
        <v>High</v>
      </c>
    </row>
    <row r="7" spans="1:7" x14ac:dyDescent="0.3">
      <c r="A7" t="s">
        <v>21</v>
      </c>
      <c r="B7" t="s">
        <v>7</v>
      </c>
      <c r="C7" t="s">
        <v>13</v>
      </c>
      <c r="D7" t="s">
        <v>9</v>
      </c>
      <c r="E7">
        <v>27000</v>
      </c>
      <c r="F7" t="s">
        <v>15</v>
      </c>
      <c r="G7" s="1" t="str">
        <f t="shared" si="0"/>
        <v>Normal</v>
      </c>
    </row>
    <row r="8" spans="1:7" x14ac:dyDescent="0.3">
      <c r="A8" t="s">
        <v>22</v>
      </c>
      <c r="B8" t="s">
        <v>4</v>
      </c>
      <c r="C8" t="s">
        <v>8</v>
      </c>
      <c r="D8" t="s">
        <v>19</v>
      </c>
      <c r="E8">
        <v>61000</v>
      </c>
      <c r="F8" t="s">
        <v>10</v>
      </c>
      <c r="G8" s="1" t="str">
        <f t="shared" si="0"/>
        <v>High</v>
      </c>
    </row>
    <row r="9" spans="1:7" x14ac:dyDescent="0.3">
      <c r="A9" t="s">
        <v>23</v>
      </c>
      <c r="B9" t="s">
        <v>7</v>
      </c>
      <c r="C9" t="s">
        <v>18</v>
      </c>
      <c r="D9" t="s">
        <v>24</v>
      </c>
      <c r="E9">
        <v>15000</v>
      </c>
      <c r="F9" t="s">
        <v>15</v>
      </c>
      <c r="G9" s="1" t="str">
        <f t="shared" si="0"/>
        <v>Normal</v>
      </c>
    </row>
    <row r="10" spans="1:7" x14ac:dyDescent="0.3">
      <c r="A10" t="s">
        <v>25</v>
      </c>
      <c r="B10" t="s">
        <v>12</v>
      </c>
      <c r="C10" t="s">
        <v>13</v>
      </c>
      <c r="D10" t="s">
        <v>14</v>
      </c>
      <c r="E10">
        <v>42000</v>
      </c>
      <c r="F10" t="s">
        <v>10</v>
      </c>
      <c r="G10" s="1" t="str">
        <f t="shared" si="0"/>
        <v>High</v>
      </c>
    </row>
    <row r="11" spans="1:7" x14ac:dyDescent="0.3">
      <c r="A11" t="s">
        <v>26</v>
      </c>
      <c r="B11" t="s">
        <v>4</v>
      </c>
      <c r="C11" t="s">
        <v>8</v>
      </c>
      <c r="D11" t="s">
        <v>19</v>
      </c>
      <c r="E11">
        <v>55000</v>
      </c>
      <c r="F11" t="s">
        <v>10</v>
      </c>
      <c r="G11" s="1" t="str">
        <f t="shared" si="0"/>
        <v>High</v>
      </c>
    </row>
    <row r="12" spans="1:7" x14ac:dyDescent="0.3">
      <c r="A12" t="s">
        <v>27</v>
      </c>
      <c r="B12" t="s">
        <v>7</v>
      </c>
      <c r="C12" t="s">
        <v>13</v>
      </c>
      <c r="D12" t="s">
        <v>24</v>
      </c>
      <c r="E12">
        <v>29000</v>
      </c>
      <c r="F12" t="s">
        <v>15</v>
      </c>
      <c r="G12" s="1" t="str">
        <f t="shared" si="0"/>
        <v>Normal</v>
      </c>
    </row>
    <row r="13" spans="1:7" x14ac:dyDescent="0.3">
      <c r="A13" t="s">
        <v>28</v>
      </c>
      <c r="B13" t="s">
        <v>4</v>
      </c>
      <c r="C13" t="s">
        <v>18</v>
      </c>
      <c r="D13" t="s">
        <v>9</v>
      </c>
      <c r="E13">
        <v>22000</v>
      </c>
      <c r="F13" t="s">
        <v>15</v>
      </c>
      <c r="G13" s="1" t="str">
        <f t="shared" si="0"/>
        <v>Normal</v>
      </c>
    </row>
    <row r="14" spans="1:7" x14ac:dyDescent="0.3">
      <c r="A14" t="s">
        <v>29</v>
      </c>
      <c r="B14" t="s">
        <v>12</v>
      </c>
      <c r="C14" t="s">
        <v>8</v>
      </c>
      <c r="D14" t="s">
        <v>14</v>
      </c>
      <c r="E14">
        <v>47000</v>
      </c>
      <c r="F14" t="s">
        <v>10</v>
      </c>
      <c r="G14" s="1" t="str">
        <f t="shared" si="0"/>
        <v>High</v>
      </c>
    </row>
    <row r="15" spans="1:7" x14ac:dyDescent="0.3">
      <c r="A15" t="s">
        <v>30</v>
      </c>
      <c r="B15" t="s">
        <v>7</v>
      </c>
      <c r="C15" t="s">
        <v>8</v>
      </c>
      <c r="D15" t="s">
        <v>24</v>
      </c>
      <c r="E15">
        <v>68000</v>
      </c>
      <c r="F15" t="s">
        <v>10</v>
      </c>
      <c r="G15" s="1" t="str">
        <f t="shared" si="0"/>
        <v>High</v>
      </c>
    </row>
  </sheetData>
  <conditionalFormatting sqref="G2:G16">
    <cfRule type="containsText" dxfId="0" priority="1" operator="containsText" text="High">
      <formula>NOT(ISERROR(SEARCH("High",G2)))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BC946-D847-4AD2-9747-DA57C82B31CD}">
  <dimension ref="A1:B6"/>
  <sheetViews>
    <sheetView workbookViewId="0"/>
  </sheetViews>
  <sheetFormatPr defaultRowHeight="14.4" x14ac:dyDescent="0.3"/>
  <cols>
    <col min="1" max="1" width="13.21875" bestFit="1" customWidth="1"/>
    <col min="2" max="2" width="12.21875" bestFit="1" customWidth="1"/>
  </cols>
  <sheetData>
    <row r="1" spans="1:2" x14ac:dyDescent="0.3">
      <c r="A1" t="s">
        <v>1</v>
      </c>
      <c r="B1" t="s">
        <v>42</v>
      </c>
    </row>
    <row r="2" spans="1:2" x14ac:dyDescent="0.3">
      <c r="A2" t="s">
        <v>45</v>
      </c>
      <c r="B2">
        <v>100000</v>
      </c>
    </row>
    <row r="3" spans="1:2" x14ac:dyDescent="0.3">
      <c r="A3" t="s">
        <v>46</v>
      </c>
      <c r="B3">
        <v>120000</v>
      </c>
    </row>
    <row r="4" spans="1:2" x14ac:dyDescent="0.3">
      <c r="A4" t="s">
        <v>7</v>
      </c>
      <c r="B4">
        <v>166000</v>
      </c>
    </row>
    <row r="5" spans="1:2" x14ac:dyDescent="0.3">
      <c r="A5" t="s">
        <v>12</v>
      </c>
      <c r="B5">
        <v>127000</v>
      </c>
    </row>
    <row r="6" spans="1:2" x14ac:dyDescent="0.3">
      <c r="A6" t="s">
        <v>4</v>
      </c>
      <c r="B6">
        <v>116000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092D2-E0E5-4B8C-B82E-A0556DD4E5BB}">
  <dimension ref="A1:F7"/>
  <sheetViews>
    <sheetView tabSelected="1" zoomScale="65" zoomScaleNormal="100" workbookViewId="0">
      <selection activeCell="B18" sqref="B18"/>
    </sheetView>
  </sheetViews>
  <sheetFormatPr defaultRowHeight="14.4" x14ac:dyDescent="0.3"/>
  <cols>
    <col min="1" max="1" width="32.77734375" bestFit="1" customWidth="1"/>
    <col min="2" max="2" width="12.109375" bestFit="1" customWidth="1"/>
    <col min="4" max="4" width="12.5546875" bestFit="1" customWidth="1"/>
    <col min="5" max="5" width="9.77734375" bestFit="1" customWidth="1"/>
    <col min="6" max="6" width="10.21875" bestFit="1" customWidth="1"/>
  </cols>
  <sheetData>
    <row r="1" spans="1:6" ht="18" x14ac:dyDescent="0.35">
      <c r="A1" s="15" t="s">
        <v>52</v>
      </c>
      <c r="B1" s="14"/>
    </row>
    <row r="3" spans="1:6" x14ac:dyDescent="0.3">
      <c r="A3" s="16" t="s">
        <v>42</v>
      </c>
      <c r="B3" s="17">
        <f>SUM(Table6!C2:C5)</f>
        <v>180000</v>
      </c>
      <c r="D3" s="11" t="s">
        <v>34</v>
      </c>
      <c r="E3" t="s">
        <v>57</v>
      </c>
      <c r="F3" t="s">
        <v>58</v>
      </c>
    </row>
    <row r="4" spans="1:6" x14ac:dyDescent="0.3">
      <c r="A4" s="16" t="s">
        <v>53</v>
      </c>
      <c r="B4" s="17">
        <f>AVERAGE(Table6!C2:C5)</f>
        <v>45000</v>
      </c>
      <c r="D4" s="12" t="s">
        <v>12</v>
      </c>
      <c r="E4">
        <v>30000</v>
      </c>
      <c r="F4">
        <v>40000</v>
      </c>
    </row>
    <row r="5" spans="1:6" x14ac:dyDescent="0.3">
      <c r="A5" s="16" t="s">
        <v>54</v>
      </c>
      <c r="B5" s="17">
        <f>MAX(Table6!C2:C5)</f>
        <v>60000</v>
      </c>
      <c r="D5" s="12" t="s">
        <v>7</v>
      </c>
      <c r="E5">
        <v>50000</v>
      </c>
      <c r="F5">
        <v>60000</v>
      </c>
    </row>
    <row r="6" spans="1:6" x14ac:dyDescent="0.3">
      <c r="A6" s="16" t="s">
        <v>55</v>
      </c>
      <c r="B6" s="17">
        <f>MIN(Table6!C2:C5)</f>
        <v>30000</v>
      </c>
      <c r="D6" s="12" t="s">
        <v>35</v>
      </c>
      <c r="E6">
        <v>80000</v>
      </c>
      <c r="F6">
        <v>100000</v>
      </c>
    </row>
    <row r="7" spans="1:6" x14ac:dyDescent="0.3">
      <c r="A7" s="16" t="s">
        <v>56</v>
      </c>
      <c r="B7" s="17">
        <f>COUNT(Table6!C2:C5)</f>
        <v>4</v>
      </c>
    </row>
  </sheetData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65907-BCE1-46CD-99F2-CFCAE531925A}">
  <dimension ref="A3:B10"/>
  <sheetViews>
    <sheetView workbookViewId="0">
      <selection activeCell="K7" sqref="K7"/>
    </sheetView>
  </sheetViews>
  <sheetFormatPr defaultRowHeight="14.4" x14ac:dyDescent="0.3"/>
  <cols>
    <col min="1" max="1" width="12.44140625" bestFit="1" customWidth="1"/>
    <col min="2" max="2" width="11.6640625" bestFit="1" customWidth="1"/>
  </cols>
  <sheetData>
    <row r="3" spans="1:2" x14ac:dyDescent="0.3">
      <c r="A3" s="11" t="s">
        <v>34</v>
      </c>
      <c r="B3" t="s">
        <v>51</v>
      </c>
    </row>
    <row r="4" spans="1:2" x14ac:dyDescent="0.3">
      <c r="A4" s="12" t="s">
        <v>12</v>
      </c>
      <c r="B4">
        <v>70000</v>
      </c>
    </row>
    <row r="5" spans="1:2" x14ac:dyDescent="0.3">
      <c r="A5" s="13" t="s">
        <v>47</v>
      </c>
      <c r="B5">
        <v>30000</v>
      </c>
    </row>
    <row r="6" spans="1:2" x14ac:dyDescent="0.3">
      <c r="A6" s="13" t="s">
        <v>48</v>
      </c>
      <c r="B6">
        <v>40000</v>
      </c>
    </row>
    <row r="7" spans="1:2" x14ac:dyDescent="0.3">
      <c r="A7" s="12" t="s">
        <v>7</v>
      </c>
      <c r="B7">
        <v>110000</v>
      </c>
    </row>
    <row r="8" spans="1:2" x14ac:dyDescent="0.3">
      <c r="A8" s="13" t="s">
        <v>47</v>
      </c>
      <c r="B8">
        <v>50000</v>
      </c>
    </row>
    <row r="9" spans="1:2" x14ac:dyDescent="0.3">
      <c r="A9" s="13" t="s">
        <v>48</v>
      </c>
      <c r="B9">
        <v>60000</v>
      </c>
    </row>
    <row r="10" spans="1:2" x14ac:dyDescent="0.3">
      <c r="A10" s="12" t="s">
        <v>35</v>
      </c>
      <c r="B10">
        <v>180000</v>
      </c>
    </row>
  </sheetData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D3D06-F8C5-4F99-BC34-D0E48A4D7ED4}">
  <dimension ref="A1:C5"/>
  <sheetViews>
    <sheetView workbookViewId="0">
      <selection activeCell="A3" sqref="A3"/>
    </sheetView>
  </sheetViews>
  <sheetFormatPr defaultRowHeight="14.4" x14ac:dyDescent="0.3"/>
  <cols>
    <col min="1" max="1" width="13.21875" bestFit="1" customWidth="1"/>
    <col min="2" max="2" width="10.6640625" bestFit="1" customWidth="1"/>
    <col min="3" max="3" width="7.88671875" bestFit="1" customWidth="1"/>
  </cols>
  <sheetData>
    <row r="1" spans="1:3" x14ac:dyDescent="0.3">
      <c r="A1" t="s">
        <v>1</v>
      </c>
      <c r="B1" t="s">
        <v>49</v>
      </c>
      <c r="C1" t="s">
        <v>50</v>
      </c>
    </row>
    <row r="2" spans="1:3" x14ac:dyDescent="0.3">
      <c r="A2" t="s">
        <v>7</v>
      </c>
      <c r="B2" t="s">
        <v>47</v>
      </c>
      <c r="C2">
        <v>50000</v>
      </c>
    </row>
    <row r="3" spans="1:3" x14ac:dyDescent="0.3">
      <c r="A3" t="s">
        <v>7</v>
      </c>
      <c r="B3" t="s">
        <v>48</v>
      </c>
      <c r="C3">
        <v>60000</v>
      </c>
    </row>
    <row r="4" spans="1:3" x14ac:dyDescent="0.3">
      <c r="A4" t="s">
        <v>12</v>
      </c>
      <c r="B4" t="s">
        <v>47</v>
      </c>
      <c r="C4">
        <v>30000</v>
      </c>
    </row>
    <row r="5" spans="1:3" x14ac:dyDescent="0.3">
      <c r="A5" t="s">
        <v>12</v>
      </c>
      <c r="B5" t="s">
        <v>48</v>
      </c>
      <c r="C5">
        <v>40000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0521A4-4945-4E91-A0B6-7EC8C92990A8}">
  <dimension ref="A1:F3"/>
  <sheetViews>
    <sheetView workbookViewId="0">
      <selection activeCell="D3" sqref="D3"/>
    </sheetView>
  </sheetViews>
  <sheetFormatPr defaultRowHeight="14.4" x14ac:dyDescent="0.3"/>
  <cols>
    <col min="1" max="1" width="12.88671875" customWidth="1"/>
    <col min="2" max="2" width="11.88671875" customWidth="1"/>
    <col min="4" max="4" width="12.88671875" customWidth="1"/>
  </cols>
  <sheetData>
    <row r="1" spans="1:6" x14ac:dyDescent="0.3">
      <c r="A1" t="s">
        <v>1</v>
      </c>
      <c r="B1" t="s">
        <v>42</v>
      </c>
      <c r="D1" t="s">
        <v>1</v>
      </c>
      <c r="E1" t="s">
        <v>47</v>
      </c>
      <c r="F1" t="s">
        <v>48</v>
      </c>
    </row>
    <row r="2" spans="1:6" x14ac:dyDescent="0.3">
      <c r="A2" t="s">
        <v>45</v>
      </c>
      <c r="B2">
        <v>100000</v>
      </c>
      <c r="D2" t="s">
        <v>7</v>
      </c>
      <c r="E2">
        <v>50000</v>
      </c>
      <c r="F2">
        <v>60000</v>
      </c>
    </row>
    <row r="3" spans="1:6" x14ac:dyDescent="0.3">
      <c r="A3" t="s">
        <v>46</v>
      </c>
      <c r="B3">
        <v>120000</v>
      </c>
      <c r="D3" t="s">
        <v>12</v>
      </c>
      <c r="E3">
        <v>30000</v>
      </c>
      <c r="F3">
        <v>40000</v>
      </c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B9CB9C7-63CC-41DE-8C8C-581C3249B92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Sheet2</vt:lpstr>
      <vt:lpstr>Sheet3</vt:lpstr>
      <vt:lpstr>Table1</vt:lpstr>
      <vt:lpstr>Table1 (2)</vt:lpstr>
      <vt:lpstr>Sheet1</vt:lpstr>
      <vt:lpstr>Table4</vt:lpstr>
      <vt:lpstr>Sheet5</vt:lpstr>
      <vt:lpstr>Sheet6</vt:lpstr>
      <vt:lpstr>Table6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Keerthana HN</dc:creator>
  <cp:lastModifiedBy>Keerthana HN</cp:lastModifiedBy>
  <dcterms:created xsi:type="dcterms:W3CDTF">2026-09-27T08:37:22Z</dcterms:created>
  <dcterms:modified xsi:type="dcterms:W3CDTF">2026-09-29T17:27:28Z</dcterms:modified>
</cp:coreProperties>
</file>