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C8EB84FE10874D/Documents/"/>
    </mc:Choice>
  </mc:AlternateContent>
  <xr:revisionPtr revIDLastSave="355" documentId="8_{9DF9D1ED-C89A-41F4-BCA5-41345C0F1EF0}" xr6:coauthVersionLast="47" xr6:coauthVersionMax="47" xr10:uidLastSave="{8D592E1D-203A-4670-B1B6-50698DD88CB2}"/>
  <bookViews>
    <workbookView xWindow="-108" yWindow="-108" windowWidth="23256" windowHeight="12456" firstSheet="2" activeTab="4" xr2:uid="{84C8DD6D-42D8-4B46-9E99-765241EDB368}"/>
  </bookViews>
  <sheets>
    <sheet name="Sheet2" sheetId="2" r:id="rId1"/>
    <sheet name="Sheet3" sheetId="3" r:id="rId2"/>
    <sheet name="Table1" sheetId="4" r:id="rId3"/>
    <sheet name="Table1 (2)" sheetId="5" r:id="rId4"/>
    <sheet name="Sheet1" sheetId="1" r:id="rId5"/>
    <sheet name="Table4" sheetId="7" r:id="rId6"/>
    <sheet name="Chart1" sheetId="11" r:id="rId7"/>
    <sheet name="Sheet5" sheetId="9" r:id="rId8"/>
    <sheet name="Sheet6" sheetId="10" r:id="rId9"/>
    <sheet name="Table6" sheetId="8" r:id="rId10"/>
    <sheet name="Sheet4" sheetId="6" r:id="rId11"/>
  </sheets>
  <definedNames>
    <definedName name="ExternalData_1" localSheetId="2" hidden="1">Table1!$A$1:$B$4</definedName>
    <definedName name="ExternalData_1" localSheetId="3" hidden="1">'Table1 (2)'!$A$1:$H$15</definedName>
    <definedName name="ExternalData_1" localSheetId="5" hidden="1">Table4!$A$1:$B$6</definedName>
    <definedName name="ExternalData_1" localSheetId="9" hidden="1">Table6!$A$1:$C$5</definedName>
  </definedNames>
  <calcPr calcId="191029"/>
  <pivotCaches>
    <pivotCache cacheId="22" r:id="rId12"/>
    <pivotCache cacheId="1" r:id="rId13"/>
    <pivotCache cacheId="11" r:id="rId14"/>
    <pivotCache cacheId="1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B4" i="9"/>
  <c r="B5" i="9"/>
  <c r="B6" i="9"/>
  <c r="B7" i="9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22A8C7-BCD1-4122-A45F-ADAEAD020D8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49DEB2B-5821-4986-B68D-01AC750C1930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7771388F-3258-4145-830B-BB9080BEAEA5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4" xr16:uid="{0C71B152-5ABB-4290-880C-BF3FDA2E3169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<sst xmlns="http://schemas.openxmlformats.org/spreadsheetml/2006/main" count="245" uniqueCount="59">
  <si>
    <t>Employee</t>
  </si>
  <si>
    <t>Department</t>
  </si>
  <si>
    <t>Product</t>
  </si>
  <si>
    <t>Region</t>
  </si>
  <si>
    <t>Sales</t>
  </si>
  <si>
    <t>Status</t>
  </si>
  <si>
    <t>Anu</t>
  </si>
  <si>
    <t>IT</t>
  </si>
  <si>
    <t>Laptop</t>
  </si>
  <si>
    <t>South</t>
  </si>
  <si>
    <t>Completed</t>
  </si>
  <si>
    <t>Ravi</t>
  </si>
  <si>
    <t>HR</t>
  </si>
  <si>
    <t>Monitor</t>
  </si>
  <si>
    <t>North</t>
  </si>
  <si>
    <t>Pending</t>
  </si>
  <si>
    <t>Priya</t>
  </si>
  <si>
    <t>Kiran</t>
  </si>
  <si>
    <t>Keyboard</t>
  </si>
  <si>
    <t>West</t>
  </si>
  <si>
    <t>Sneha</t>
  </si>
  <si>
    <t>Rahul</t>
  </si>
  <si>
    <t>Divya</t>
  </si>
  <si>
    <t>Arjun</t>
  </si>
  <si>
    <t>East</t>
  </si>
  <si>
    <t>Meena</t>
  </si>
  <si>
    <t>Vijay</t>
  </si>
  <si>
    <t>Neha</t>
  </si>
  <si>
    <t>Asha</t>
  </si>
  <si>
    <t>Rohan</t>
  </si>
  <si>
    <t>Pooja</t>
  </si>
  <si>
    <t>Sales_Level</t>
  </si>
  <si>
    <t>Pending_Employees</t>
  </si>
  <si>
    <t>Sales_Sorted</t>
  </si>
  <si>
    <t>Row Labels</t>
  </si>
  <si>
    <t>Grand Total</t>
  </si>
  <si>
    <t>Sum of Sales</t>
  </si>
  <si>
    <t>Column2</t>
  </si>
  <si>
    <t>Column3</t>
  </si>
  <si>
    <t>Column4</t>
  </si>
  <si>
    <t>Column5</t>
  </si>
  <si>
    <t>High</t>
  </si>
  <si>
    <t>Total Sales</t>
  </si>
  <si>
    <t>Normal</t>
  </si>
  <si>
    <t>Table1.Total Sales</t>
  </si>
  <si>
    <t>Finance</t>
  </si>
  <si>
    <t>Marketing</t>
  </si>
  <si>
    <t>Jan</t>
  </si>
  <si>
    <t>Feb</t>
  </si>
  <si>
    <t>Attribute</t>
  </si>
  <si>
    <t>Value</t>
  </si>
  <si>
    <t>Sum of Value</t>
  </si>
  <si>
    <t>SALES ANALYSIS DASHBOARD</t>
  </si>
  <si>
    <t>Average Sales</t>
  </si>
  <si>
    <t>Highest  Sales</t>
  </si>
  <si>
    <t>Lowest Sales</t>
  </si>
  <si>
    <t>Number of Records</t>
  </si>
  <si>
    <t>Sum of Jan</t>
  </si>
  <si>
    <t>Sum of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</si>
</sst>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9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chartsheet" Target="chartsheets/sheet1.xml"/><Relationship Id="rId12" Type="http://schemas.openxmlformats.org/officeDocument/2006/relationships/pivotCacheDefinition" Target="pivotCache/pivotCacheDefinition1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Status-Wise-Sales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5273600174978126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Sheet2!$A$2:$A$4</c:f>
              <c:strCache>
                <c:ptCount val="2"/>
                <c:pt idx="0">
                  <c:v>Completed</c:v>
                </c:pt>
                <c:pt idx="1">
                  <c:v>Pending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2"/>
                <c:pt idx="0">
                  <c:v>408000</c:v>
                </c:pt>
                <c:pt idx="1">
                  <c:v>123000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3-4B0C-957E-0C4691CA6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494943"/>
        <c:axId val="2023524303"/>
      </c:barChart>
      <c:catAx>
        <c:axId val="204049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524303"/>
        <c:crosses val="autoZero"/>
        <c:auto val="1"/>
        <c:lblAlgn val="ctr"/>
        <c:lblOffset val="100"/>
        <c:noMultiLvlLbl val="0"/>
      </c:catAx>
      <c:valAx>
        <c:axId val="202352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Product-Wise_Sales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Sheet2!$A$11:$A$14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</c:strCache>
            </c:strRef>
          </c:cat>
          <c:val>
            <c:numRef>
              <c:f>Sheet2!$B$11:$B$14</c:f>
              <c:numCache>
                <c:formatCode>General</c:formatCode>
                <c:ptCount val="3"/>
                <c:pt idx="0">
                  <c:v>49000</c:v>
                </c:pt>
                <c:pt idx="1">
                  <c:v>366000</c:v>
                </c:pt>
                <c:pt idx="2">
                  <c:v>116000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2-4DF1-9C6E-5C157EDEB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498655"/>
        <c:axId val="2023558863"/>
      </c:barChart>
      <c:catAx>
        <c:axId val="204049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558863"/>
        <c:crosses val="autoZero"/>
        <c:auto val="1"/>
        <c:lblAlgn val="ctr"/>
        <c:lblOffset val="100"/>
        <c:noMultiLvlLbl val="0"/>
      </c:catAx>
      <c:valAx>
        <c:axId val="202355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9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[Data_Analyst_Excel_Project.xlsx]Sheet5!PivotTable3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</a:t>
            </a:r>
            <a:r>
              <a:rPr lang="en-IN" baseline="0"/>
              <a:t> Sales By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Sheet5!$E$3</c:f>
              <c:strCache>
                <c:ptCount val="1"/>
                <c:pt idx="0">
                  <c:v>Sum of 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Sheet5!$E$4:$E$6</c:f>
              <c:numCache>
                <c:formatCode>General</c:formatCode>
                <c:ptCount val="2"/>
                <c:pt idx="0">
                  <c:v>30000</c:v>
                </c:pt>
                <c:pt idx="1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6D-4F9D-8AA9-C86DD85216C1}"/>
            </c:ext>
          </c:extLst>
        </c:ser>
        <c:ser>
          <c:idx val="1"/>
          <c:order val="1"/>
          <c:tx>
            <c:strRef>
              <c:f>Sheet5!$F$3</c:f>
              <c:strCache>
                <c:ptCount val="1"/>
                <c:pt idx="0">
                  <c:v>Sum of 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Sheet5!$F$4:$F$6</c:f>
              <c:numCache>
                <c:formatCode>General</c:formatCode>
                <c:ptCount val="2"/>
                <c:pt idx="0">
                  <c:v>40000</c:v>
                </c:pt>
                <c:pt idx="1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6D-4F9D-8AA9-C86DD8521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888095"/>
        <c:axId val="406067599"/>
      </c:barChart>
      <c:catAx>
        <c:axId val="3668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67599"/>
        <c:crosses val="autoZero"/>
        <c:auto val="1"/>
        <c:lblAlgn val="ctr"/>
        <c:lblOffset val="100"/>
        <c:noMultiLvlLbl val="0"/>
      </c:catAx>
      <c:valAx>
        <c:axId val="4060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8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[Data_Analyst_Excel_Project.xlsx]Sheet6!PivotTable2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</a:t>
            </a:r>
            <a:r>
              <a:rPr lang="en-IN" baseline="0"/>
              <a:t> Sales By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Sheet6!$A$4:$A$10</c:f>
              <c:multiLvlStrCache>
                <c:ptCount val="4"/>
                <c:lvl>
                  <c:pt idx="0">
                    <c:v>Jan</c:v>
                  </c:pt>
                  <c:pt idx="1">
                    <c:v>Feb</c:v>
                  </c:pt>
                  <c:pt idx="2">
                    <c:v>Jan</c:v>
                  </c:pt>
                  <c:pt idx="3">
                    <c:v>Feb</c:v>
                  </c:pt>
                </c:lvl>
                <c:lvl>
                  <c:pt idx="0">
                    <c:v>HR</c:v>
                  </c:pt>
                  <c:pt idx="2">
                    <c:v>IT</c:v>
                  </c:pt>
                </c:lvl>
              </c:multiLvlStrCache>
            </c:multiLvlStrRef>
          </c:cat>
          <c:val>
            <c:numRef>
              <c:f>Sheet6!$B$4:$B$10</c:f>
              <c:numCache>
                <c:formatCode>General</c:formatCode>
                <c:ptCount val="4"/>
                <c:pt idx="0">
                  <c:v>30000</c:v>
                </c:pt>
                <c:pt idx="1">
                  <c:v>40000</c:v>
                </c:pt>
                <c:pt idx="2">
                  <c:v>50000</c:v>
                </c:pt>
                <c:pt idx="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F-4606-A1AD-3E7C44B3B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769215"/>
        <c:axId val="2076411407"/>
      </c:barChart>
      <c:catAx>
        <c:axId val="39276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11407"/>
        <c:crosses val="autoZero"/>
        <c:auto val="1"/>
        <c:lblAlgn val="ctr"/>
        <c:lblOffset val="100"/>
        <c:noMultiLvlLbl val="0"/>
      </c:catAx>
      <c:valAx>
        <c:axId val="207641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6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[Data_Analyst_Excel_Project.xlsx]Sheet6!PivotTable2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</a:t>
            </a:r>
            <a:r>
              <a:rPr lang="en-IN" baseline="0"/>
              <a:t> Sales By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Sheet6!$A$4:$A$10</c:f>
              <c:multiLvlStrCache>
                <c:ptCount val="4"/>
                <c:lvl>
                  <c:pt idx="0">
                    <c:v>Jan</c:v>
                  </c:pt>
                  <c:pt idx="1">
                    <c:v>Feb</c:v>
                  </c:pt>
                  <c:pt idx="2">
                    <c:v>Jan</c:v>
                  </c:pt>
                  <c:pt idx="3">
                    <c:v>Feb</c:v>
                  </c:pt>
                </c:lvl>
                <c:lvl>
                  <c:pt idx="0">
                    <c:v>HR</c:v>
                  </c:pt>
                  <c:pt idx="2">
                    <c:v>IT</c:v>
                  </c:pt>
                </c:lvl>
              </c:multiLvlStrCache>
            </c:multiLvlStrRef>
          </c:cat>
          <c:val>
            <c:numRef>
              <c:f>Sheet6!$B$4:$B$10</c:f>
              <c:numCache>
                <c:formatCode>General</c:formatCode>
                <c:ptCount val="4"/>
                <c:pt idx="0">
                  <c:v>30000</c:v>
                </c:pt>
                <c:pt idx="1">
                  <c:v>40000</c:v>
                </c:pt>
                <c:pt idx="2">
                  <c:v>50000</c:v>
                </c:pt>
                <c:pt idx="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1-416C-90E6-14FBA5745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769215"/>
        <c:axId val="2076411407"/>
      </c:barChart>
      <c:catAx>
        <c:axId val="39276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11407"/>
        <c:crosses val="autoZero"/>
        <c:auto val="1"/>
        <c:lblAlgn val="ctr"/>
        <c:lblOffset val="100"/>
        <c:noMultiLvlLbl val="0"/>
      </c:catAx>
      <c:valAx>
        <c:axId val="207641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6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[Data_Analyst_Excel_Project.xlsx]Sheet6!PivotTable2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Sales By Month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Sheet6!$A$4:$A$10</c:f>
              <c:multiLvlStrCache>
                <c:ptCount val="4"/>
                <c:lvl>
                  <c:pt idx="0">
                    <c:v>Jan</c:v>
                  </c:pt>
                  <c:pt idx="1">
                    <c:v>Feb</c:v>
                  </c:pt>
                  <c:pt idx="2">
                    <c:v>Jan</c:v>
                  </c:pt>
                  <c:pt idx="3">
                    <c:v>Feb</c:v>
                  </c:pt>
                </c:lvl>
                <c:lvl>
                  <c:pt idx="0">
                    <c:v>HR</c:v>
                  </c:pt>
                  <c:pt idx="2">
                    <c:v>IT</c:v>
                  </c:pt>
                </c:lvl>
              </c:multiLvlStrCache>
            </c:multiLvlStrRef>
          </c:cat>
          <c:val>
            <c:numRef>
              <c:f>Sheet6!$B$4:$B$10</c:f>
              <c:numCache>
                <c:formatCode>General</c:formatCode>
                <c:ptCount val="4"/>
                <c:pt idx="0">
                  <c:v>30000</c:v>
                </c:pt>
                <c:pt idx="1">
                  <c:v>40000</c:v>
                </c:pt>
                <c:pt idx="2">
                  <c:v>50000</c:v>
                </c:pt>
                <c:pt idx="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21-43CD-AD06-89D3EC02A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769215"/>
        <c:axId val="2076411407"/>
      </c:barChart>
      <c:catAx>
        <c:axId val="39276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11407"/>
        <c:crosses val="autoZero"/>
        <c:auto val="1"/>
        <c:lblAlgn val="ctr"/>
        <c:lblOffset val="100"/>
        <c:noMultiLvlLbl val="0"/>
      </c:catAx>
      <c:valAx>
        <c:axId val="207641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69215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[Data_Analyst_Excel_Project.xlsx]Sheet6!PivotTable2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</a:t>
            </a:r>
            <a:r>
              <a:rPr lang="en-IN" baseline="0"/>
              <a:t> Sales By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Sheet6!$A$4:$A$10</c:f>
              <c:multiLvlStrCache>
                <c:ptCount val="4"/>
                <c:lvl>
                  <c:pt idx="0">
                    <c:v>Jan</c:v>
                  </c:pt>
                  <c:pt idx="1">
                    <c:v>Feb</c:v>
                  </c:pt>
                  <c:pt idx="2">
                    <c:v>Jan</c:v>
                  </c:pt>
                  <c:pt idx="3">
                    <c:v>Feb</c:v>
                  </c:pt>
                </c:lvl>
                <c:lvl>
                  <c:pt idx="0">
                    <c:v>HR</c:v>
                  </c:pt>
                  <c:pt idx="2">
                    <c:v>IT</c:v>
                  </c:pt>
                </c:lvl>
              </c:multiLvlStrCache>
            </c:multiLvlStrRef>
          </c:cat>
          <c:val>
            <c:numRef>
              <c:f>Sheet6!$B$4:$B$10</c:f>
              <c:numCache>
                <c:formatCode>General</c:formatCode>
                <c:ptCount val="4"/>
                <c:pt idx="0">
                  <c:v>30000</c:v>
                </c:pt>
                <c:pt idx="1">
                  <c:v>40000</c:v>
                </c:pt>
                <c:pt idx="2">
                  <c:v>50000</c:v>
                </c:pt>
                <c:pt idx="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9-41F0-8C8F-A647FC996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769215"/>
        <c:axId val="2076411407"/>
      </c:barChart>
      <c:catAx>
        <c:axId val="39276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11407"/>
        <c:crosses val="autoZero"/>
        <c:auto val="1"/>
        <c:lblAlgn val="ctr"/>
        <c:lblOffset val="100"/>
        <c:noMultiLvlLbl val="0"/>
      </c:catAx>
      <c:valAx>
        <c:axId val="207641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6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[Data_Analyst_Excel_Project.xlsx]Sheet6!PivotTable2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</a:t>
            </a:r>
            <a:r>
              <a:rPr lang="en-IN" baseline="0"/>
              <a:t> Sales By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Sheet6!$A$4:$A$10</c:f>
              <c:multiLvlStrCache>
                <c:ptCount val="4"/>
                <c:lvl>
                  <c:pt idx="0">
                    <c:v>Jan</c:v>
                  </c:pt>
                  <c:pt idx="1">
                    <c:v>Feb</c:v>
                  </c:pt>
                  <c:pt idx="2">
                    <c:v>Jan</c:v>
                  </c:pt>
                  <c:pt idx="3">
                    <c:v>Feb</c:v>
                  </c:pt>
                </c:lvl>
                <c:lvl>
                  <c:pt idx="0">
                    <c:v>HR</c:v>
                  </c:pt>
                  <c:pt idx="2">
                    <c:v>IT</c:v>
                  </c:pt>
                </c:lvl>
              </c:multiLvlStrCache>
            </c:multiLvlStrRef>
          </c:cat>
          <c:val>
            <c:numRef>
              <c:f>Sheet6!$B$4:$B$10</c:f>
              <c:numCache>
                <c:formatCode>General</c:formatCode>
                <c:ptCount val="4"/>
                <c:pt idx="0">
                  <c:v>30000</c:v>
                </c:pt>
                <c:pt idx="1">
                  <c:v>40000</c:v>
                </c:pt>
                <c:pt idx="2">
                  <c:v>50000</c:v>
                </c:pt>
                <c:pt idx="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7-44E2-84DF-253234C29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769215"/>
        <c:axId val="2076411407"/>
      </c:barChart>
      <c:catAx>
        <c:axId val="39276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11407"/>
        <c:crosses val="autoZero"/>
        <c:auto val="1"/>
        <c:lblAlgn val="ctr"/>
        <c:lblOffset val="100"/>
        <c:noMultiLvlLbl val="0"/>
      </c:catAx>
      <c:valAx>
        <c:axId val="207641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6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[Data_Analyst_Excel_Project.xlsx]Sheet6!PivotTable2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</a:t>
            </a:r>
            <a:r>
              <a:rPr lang="en-IN" baseline="0"/>
              <a:t> Sales By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Sheet6!$A$4:$A$10</c:f>
              <c:multiLvlStrCache>
                <c:ptCount val="4"/>
                <c:lvl>
                  <c:pt idx="0">
                    <c:v>Jan</c:v>
                  </c:pt>
                  <c:pt idx="1">
                    <c:v>Feb</c:v>
                  </c:pt>
                  <c:pt idx="2">
                    <c:v>Jan</c:v>
                  </c:pt>
                  <c:pt idx="3">
                    <c:v>Feb</c:v>
                  </c:pt>
                </c:lvl>
                <c:lvl>
                  <c:pt idx="0">
                    <c:v>HR</c:v>
                  </c:pt>
                  <c:pt idx="2">
                    <c:v>IT</c:v>
                  </c:pt>
                </c:lvl>
              </c:multiLvlStrCache>
            </c:multiLvlStrRef>
          </c:cat>
          <c:val>
            <c:numRef>
              <c:f>Sheet6!$B$4:$B$10</c:f>
              <c:numCache>
                <c:formatCode>General</c:formatCode>
                <c:ptCount val="4"/>
                <c:pt idx="0">
                  <c:v>30000</c:v>
                </c:pt>
                <c:pt idx="1">
                  <c:v>40000</c:v>
                </c:pt>
                <c:pt idx="2">
                  <c:v>50000</c:v>
                </c:pt>
                <c:pt idx="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0-4951-A0AD-F5433BC1E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769215"/>
        <c:axId val="2076411407"/>
      </c:barChart>
      <c:catAx>
        <c:axId val="39276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11407"/>
        <c:crosses val="autoZero"/>
        <c:auto val="1"/>
        <c:lblAlgn val="ctr"/>
        <c:lblOffset val="100"/>
        <c:noMultiLvlLbl val="0"/>
      </c:catAx>
      <c:valAx>
        <c:axId val="207641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6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[Data_Analyst_Excel_Project.xlsx]Sheet6!PivotTable2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</a:t>
            </a:r>
            <a:r>
              <a:rPr lang="en-IN" baseline="0"/>
              <a:t> Sales By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Sheet6!$A$4:$A$10</c:f>
              <c:multiLvlStrCache>
                <c:ptCount val="4"/>
                <c:lvl>
                  <c:pt idx="0">
                    <c:v>Jan</c:v>
                  </c:pt>
                  <c:pt idx="1">
                    <c:v>Feb</c:v>
                  </c:pt>
                  <c:pt idx="2">
                    <c:v>Jan</c:v>
                  </c:pt>
                  <c:pt idx="3">
                    <c:v>Feb</c:v>
                  </c:pt>
                </c:lvl>
                <c:lvl>
                  <c:pt idx="0">
                    <c:v>HR</c:v>
                  </c:pt>
                  <c:pt idx="2">
                    <c:v>IT</c:v>
                  </c:pt>
                </c:lvl>
              </c:multiLvlStrCache>
            </c:multiLvlStrRef>
          </c:cat>
          <c:val>
            <c:numRef>
              <c:f>Sheet6!$B$4:$B$10</c:f>
              <c:numCache>
                <c:formatCode>General</c:formatCode>
                <c:ptCount val="4"/>
                <c:pt idx="0">
                  <c:v>30000</c:v>
                </c:pt>
                <c:pt idx="1">
                  <c:v>40000</c:v>
                </c:pt>
                <c:pt idx="2">
                  <c:v>50000</c:v>
                </c:pt>
                <c:pt idx="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6-4F9D-851B-8E609DC1A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769215"/>
        <c:axId val="2076411407"/>
      </c:barChart>
      <c:catAx>
        <c:axId val="39276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11407"/>
        <c:crosses val="autoZero"/>
        <c:auto val="1"/>
        <c:lblAlgn val="ctr"/>
        <c:lblOffset val="100"/>
        <c:noMultiLvlLbl val="0"/>
      </c:catAx>
      <c:valAx>
        <c:axId val="207641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6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[Data_Analyst_Excel_Project.xlsx]Sheet5!PivotTable3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Sheet5!$E$3</c:f>
              <c:strCache>
                <c:ptCount val="1"/>
                <c:pt idx="0">
                  <c:v>Sum of 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Sheet5!$E$4:$E$6</c:f>
              <c:numCache>
                <c:formatCode>General</c:formatCode>
                <c:ptCount val="2"/>
                <c:pt idx="0">
                  <c:v>30000</c:v>
                </c:pt>
                <c:pt idx="1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1A-4EFA-9B60-EB3527B1EF7E}"/>
            </c:ext>
          </c:extLst>
        </c:ser>
        <c:ser>
          <c:idx val="1"/>
          <c:order val="1"/>
          <c:tx>
            <c:strRef>
              <c:f>Sheet5!$F$3</c:f>
              <c:strCache>
                <c:ptCount val="1"/>
                <c:pt idx="0">
                  <c:v>Sum of 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Sheet5!$F$4:$F$6</c:f>
              <c:numCache>
                <c:formatCode>General</c:formatCode>
                <c:ptCount val="2"/>
                <c:pt idx="0">
                  <c:v>40000</c:v>
                </c:pt>
                <c:pt idx="1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1A-4EFA-9B60-EB3527B1E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000175"/>
        <c:axId val="405995599"/>
      </c:barChart>
      <c:catAx>
        <c:axId val="40100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95599"/>
        <c:crosses val="autoZero"/>
        <c:auto val="1"/>
        <c:lblAlgn val="ctr"/>
        <c:lblOffset val="100"/>
        <c:noMultiLvlLbl val="0"/>
      </c:catAx>
      <c:valAx>
        <c:axId val="40599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0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[Data_Analyst_Excel_Project.xlsx]Sheet5!PivotTable3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Sheet5!$E$3</c:f>
              <c:strCache>
                <c:ptCount val="1"/>
                <c:pt idx="0">
                  <c:v>Sum of 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Sheet5!$E$4:$E$6</c:f>
              <c:numCache>
                <c:formatCode>General</c:formatCode>
                <c:ptCount val="2"/>
                <c:pt idx="0">
                  <c:v>30000</c:v>
                </c:pt>
                <c:pt idx="1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D0-47AB-AFF2-BCB5111E3CCE}"/>
            </c:ext>
          </c:extLst>
        </c:ser>
        <c:ser>
          <c:idx val="1"/>
          <c:order val="1"/>
          <c:tx>
            <c:strRef>
              <c:f>Sheet5!$F$3</c:f>
              <c:strCache>
                <c:ptCount val="1"/>
                <c:pt idx="0">
                  <c:v>Sum of 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Sheet5!$F$4:$F$6</c:f>
              <c:numCache>
                <c:formatCode>General</c:formatCode>
                <c:ptCount val="2"/>
                <c:pt idx="0">
                  <c:v>40000</c:v>
                </c:pt>
                <c:pt idx="1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D0-47AB-AFF2-BCB5111E3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022911"/>
        <c:axId val="405907279"/>
      </c:barChart>
      <c:catAx>
        <c:axId val="40102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07279"/>
        <c:crosses val="autoZero"/>
        <c:auto val="1"/>
        <c:lblAlgn val="ctr"/>
        <c:lblOffset val="100"/>
        <c:noMultiLvlLbl val="0"/>
      </c:catAx>
      <c:valAx>
        <c:axId val="40590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2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[Data_Analyst_Excel_Project.xlsx]Sheet5!PivotTable3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Sheet5!$E$3</c:f>
              <c:strCache>
                <c:ptCount val="1"/>
                <c:pt idx="0">
                  <c:v>Sum of 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Sheet5!$E$4:$E$6</c:f>
              <c:numCache>
                <c:formatCode>General</c:formatCode>
                <c:ptCount val="2"/>
                <c:pt idx="0">
                  <c:v>30000</c:v>
                </c:pt>
                <c:pt idx="1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6E-42CF-8F1B-1C22245D15EB}"/>
            </c:ext>
          </c:extLst>
        </c:ser>
        <c:ser>
          <c:idx val="1"/>
          <c:order val="1"/>
          <c:tx>
            <c:strRef>
              <c:f>Sheet5!$F$3</c:f>
              <c:strCache>
                <c:ptCount val="1"/>
                <c:pt idx="0">
                  <c:v>Sum of 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Sheet5!$F$4:$F$6</c:f>
              <c:numCache>
                <c:formatCode>General</c:formatCode>
                <c:ptCount val="2"/>
                <c:pt idx="0">
                  <c:v>40000</c:v>
                </c:pt>
                <c:pt idx="1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6E-42CF-8F1B-1C22245D1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068383"/>
        <c:axId val="405832879"/>
      </c:barChart>
      <c:catAx>
        <c:axId val="40106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832879"/>
        <c:crosses val="autoZero"/>
        <c:auto val="1"/>
        <c:lblAlgn val="ctr"/>
        <c:lblOffset val="100"/>
        <c:noMultiLvlLbl val="0"/>
      </c:catAx>
      <c:valAx>
        <c:axId val="40583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06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[Data_Analyst_Excel_Project.xlsx]Sheet5!PivotTable3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Sheet5!$E$3</c:f>
              <c:strCache>
                <c:ptCount val="1"/>
                <c:pt idx="0">
                  <c:v>Sum of 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Sheet5!$E$4:$E$6</c:f>
              <c:numCache>
                <c:formatCode>General</c:formatCode>
                <c:ptCount val="2"/>
                <c:pt idx="0">
                  <c:v>30000</c:v>
                </c:pt>
                <c:pt idx="1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07-4006-B504-D7625E044F57}"/>
            </c:ext>
          </c:extLst>
        </c:ser>
        <c:ser>
          <c:idx val="1"/>
          <c:order val="1"/>
          <c:tx>
            <c:strRef>
              <c:f>Sheet5!$F$3</c:f>
              <c:strCache>
                <c:ptCount val="1"/>
                <c:pt idx="0">
                  <c:v>Sum of 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Sheet5!$F$4:$F$6</c:f>
              <c:numCache>
                <c:formatCode>General</c:formatCode>
                <c:ptCount val="2"/>
                <c:pt idx="0">
                  <c:v>40000</c:v>
                </c:pt>
                <c:pt idx="1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07-4006-B504-D7625E044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739983"/>
        <c:axId val="406004239"/>
      </c:barChart>
      <c:catAx>
        <c:axId val="39273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04239"/>
        <c:crosses val="autoZero"/>
        <c:auto val="1"/>
        <c:lblAlgn val="ctr"/>
        <c:lblOffset val="100"/>
        <c:noMultiLvlLbl val="0"/>
      </c:catAx>
      <c:valAx>
        <c:axId val="40600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3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[Data_Analyst_Excel_Project.xlsx]Sheet5!PivotTable3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Sales By Month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Sheet5!$E$3</c:f>
              <c:strCache>
                <c:ptCount val="1"/>
                <c:pt idx="0">
                  <c:v>Sum of Jan</c:v>
                </c:pt>
              </c:strCache>
            </c:strRef>
          </c:tx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Sheet5!$E$4:$E$6</c:f>
              <c:numCache>
                <c:formatCode>General</c:formatCode>
                <c:ptCount val="2"/>
                <c:pt idx="0">
                  <c:v>30000</c:v>
                </c:pt>
                <c:pt idx="1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E9-494C-8803-639243AB0CCA}"/>
            </c:ext>
          </c:extLst>
        </c:ser>
        <c:ser>
          <c:idx val="1"/>
          <c:order val="1"/>
          <c:tx>
            <c:strRef>
              <c:f>Sheet5!$F$3</c:f>
              <c:strCache>
                <c:ptCount val="1"/>
                <c:pt idx="0">
                  <c:v>Sum of Feb</c:v>
                </c:pt>
              </c:strCache>
            </c:strRef>
          </c:tx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Sheet5!$F$4:$F$6</c:f>
              <c:numCache>
                <c:formatCode>General</c:formatCode>
                <c:ptCount val="2"/>
                <c:pt idx="0">
                  <c:v>40000</c:v>
                </c:pt>
                <c:pt idx="1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EE9-494C-8803-639243AB0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888095"/>
        <c:axId val="406067599"/>
      </c:barChart>
      <c:catAx>
        <c:axId val="3668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67599"/>
        <c:crosses val="autoZero"/>
        <c:auto val="1"/>
        <c:lblAlgn val="ctr"/>
        <c:lblOffset val="100"/>
        <c:noMultiLvlLbl val="0"/>
      </c:catAx>
      <c:valAx>
        <c:axId val="4060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88095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[Data_Analyst_Excel_Project.xlsx]Sheet5!PivotTable3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</a:t>
            </a:r>
            <a:r>
              <a:rPr lang="en-IN" baseline="0"/>
              <a:t> Sales By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Sheet5!$E$3</c:f>
              <c:strCache>
                <c:ptCount val="1"/>
                <c:pt idx="0">
                  <c:v>Sum of 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Sheet5!$E$4:$E$6</c:f>
              <c:numCache>
                <c:formatCode>General</c:formatCode>
                <c:ptCount val="2"/>
                <c:pt idx="0">
                  <c:v>30000</c:v>
                </c:pt>
                <c:pt idx="1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9-42F6-B8E0-50E68B54CCA7}"/>
            </c:ext>
          </c:extLst>
        </c:ser>
        <c:ser>
          <c:idx val="1"/>
          <c:order val="1"/>
          <c:tx>
            <c:strRef>
              <c:f>Sheet5!$F$3</c:f>
              <c:strCache>
                <c:ptCount val="1"/>
                <c:pt idx="0">
                  <c:v>Sum of 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Sheet5!$D$4:$D$6</c:f>
              <c:strCache>
                <c:ptCount val="2"/>
                <c:pt idx="0">
                  <c:v>HR</c:v>
                </c:pt>
                <c:pt idx="1">
                  <c:v>IT</c:v>
                </c:pt>
              </c:strCache>
            </c:strRef>
          </c:cat>
          <c:val>
            <c:numRef>
              <c:f>Sheet5!$F$4:$F$6</c:f>
              <c:numCache>
                <c:formatCode>General</c:formatCode>
                <c:ptCount val="2"/>
                <c:pt idx="0">
                  <c:v>40000</c:v>
                </c:pt>
                <c:pt idx="1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9-42F6-B8E0-50E68B54C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888095"/>
        <c:axId val="406067599"/>
      </c:barChart>
      <c:catAx>
        <c:axId val="36688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67599"/>
        <c:crosses val="autoZero"/>
        <c:auto val="1"/>
        <c:lblAlgn val="ctr"/>
        <c:lblOffset val="100"/>
        <c:noMultiLvlLbl val="0"/>
      </c:catAx>
      <c:valAx>
        <c:axId val="4060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8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[Data_Analyst_Excel_Project.xlsx]Sheet6!PivotTable2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</a:t>
            </a:r>
            <a:r>
              <a:rPr lang="en-IN" baseline="0"/>
              <a:t> Sales By Month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Sheet6!$A$4:$A$10</c:f>
              <c:multiLvlStrCache>
                <c:ptCount val="4"/>
                <c:lvl>
                  <c:pt idx="0">
                    <c:v>Jan</c:v>
                  </c:pt>
                  <c:pt idx="1">
                    <c:v>Feb</c:v>
                  </c:pt>
                  <c:pt idx="2">
                    <c:v>Jan</c:v>
                  </c:pt>
                  <c:pt idx="3">
                    <c:v>Feb</c:v>
                  </c:pt>
                </c:lvl>
                <c:lvl>
                  <c:pt idx="0">
                    <c:v>HR</c:v>
                  </c:pt>
                  <c:pt idx="2">
                    <c:v>IT</c:v>
                  </c:pt>
                </c:lvl>
              </c:multiLvlStrCache>
            </c:multiLvlStrRef>
          </c:cat>
          <c:val>
            <c:numRef>
              <c:f>Sheet6!$B$4:$B$10</c:f>
              <c:numCache>
                <c:formatCode>General</c:formatCode>
                <c:ptCount val="4"/>
                <c:pt idx="0">
                  <c:v>30000</c:v>
                </c:pt>
                <c:pt idx="1">
                  <c:v>40000</c:v>
                </c:pt>
                <c:pt idx="2">
                  <c:v>50000</c:v>
                </c:pt>
                <c:pt idx="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B-4674-8040-1A45C92B8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2769215"/>
        <c:axId val="2076411407"/>
      </c:barChart>
      <c:catAx>
        <c:axId val="39276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411407"/>
        <c:crosses val="autoZero"/>
        <c:auto val="1"/>
        <c:lblAlgn val="ctr"/>
        <c:lblOffset val="100"/>
        <c:noMultiLvlLbl val="0"/>
      </c:catAx>
      <c:valAx>
        <c:axId val="207641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6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56A503-9682-4C8E-A0F4-280F6F39038C}">
  <sheetPr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0</xdr:row>
      <xdr:rowOff>0</xdr:rowOff>
    </xdr:from>
    <xdr:to>
      <xdr:col>10</xdr:col>
      <xdr:colOff>198120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8C12C3-E3A0-403A-082B-BB474F9EE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419100</xdr:colOff>
      <xdr:row>0</xdr:row>
      <xdr:rowOff>0</xdr:rowOff>
    </xdr:from>
    <xdr:to>
      <xdr:col>18</xdr:col>
      <xdr:colOff>114300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A627F6-53BC-246D-9E5C-81C733751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B42950-20F9-F94C-FC05-6AA56AC00D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12</xdr:col>
      <xdr:colOff>304800</xdr:colOff>
      <xdr:row>19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69AE67-BCDF-4B71-A728-F92C9944A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12</xdr:col>
      <xdr:colOff>304800</xdr:colOff>
      <xdr:row>22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A2F7B4-101B-404D-9AFF-68C5B621E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11</xdr:col>
      <xdr:colOff>304800</xdr:colOff>
      <xdr:row>28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EE2131-0600-4492-997E-DB8FA389B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12</xdr:row>
      <xdr:rowOff>0</xdr:rowOff>
    </xdr:from>
    <xdr:to>
      <xdr:col>12</xdr:col>
      <xdr:colOff>304800</xdr:colOff>
      <xdr:row>27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5CD3FD0-C03F-4EBF-9896-C3C7D34E5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10</xdr:row>
      <xdr:rowOff>0</xdr:rowOff>
    </xdr:from>
    <xdr:to>
      <xdr:col>14</xdr:col>
      <xdr:colOff>304800</xdr:colOff>
      <xdr:row>25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E542C43-E825-400F-A1FE-879337848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13</xdr:col>
      <xdr:colOff>304800</xdr:colOff>
      <xdr:row>27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3B2BFD4-DCE5-4F8E-9267-20839A455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2</xdr:row>
      <xdr:rowOff>0</xdr:rowOff>
    </xdr:from>
    <xdr:to>
      <xdr:col>10</xdr:col>
      <xdr:colOff>304800</xdr:colOff>
      <xdr:row>17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D1086F2-C4EE-4488-A954-B6880A97B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190500</xdr:colOff>
      <xdr:row>5</xdr:row>
      <xdr:rowOff>179070</xdr:rowOff>
    </xdr:from>
    <xdr:to>
      <xdr:col>9</xdr:col>
      <xdr:colOff>495300</xdr:colOff>
      <xdr:row>20</xdr:row>
      <xdr:rowOff>179070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49E606C-1357-1F84-2F10-28BD8DA5F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68580</xdr:colOff>
      <xdr:row>6</xdr:row>
      <xdr:rowOff>0</xdr:rowOff>
    </xdr:from>
    <xdr:to>
      <xdr:col>8</xdr:col>
      <xdr:colOff>601980</xdr:colOff>
      <xdr:row>21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8964296-5F75-D3A5-7CB9-579173F3C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123151</xdr:colOff>
      <xdr:row>6</xdr:row>
      <xdr:rowOff>13855</xdr:rowOff>
    </xdr:from>
    <xdr:to>
      <xdr:col>9</xdr:col>
      <xdr:colOff>53878</xdr:colOff>
      <xdr:row>20</xdr:row>
      <xdr:rowOff>170873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37B79CC-FFE3-6FF7-8DCF-8FDAF22DE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123151</xdr:colOff>
      <xdr:row>6</xdr:row>
      <xdr:rowOff>10007</xdr:rowOff>
    </xdr:from>
    <xdr:to>
      <xdr:col>9</xdr:col>
      <xdr:colOff>53878</xdr:colOff>
      <xdr:row>20</xdr:row>
      <xdr:rowOff>167025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AD8511F-A802-D586-696D-A8234B3B5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absoluteAnchor>
    <xdr:pos x="6488545" y="2447636"/>
    <xdr:ext cx="8651488" cy="6272561"/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C8F0ED7-2A51-4995-AFB3-C3B3FCFBF8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absoluteAnchor>
  <xdr:absoluteAnchor>
    <xdr:pos x="6527030" y="2817091"/>
    <xdr:ext cx="8651488" cy="6272561"/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45AD9F2-4DDB-41AF-8367-3EC6BEE597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19050</xdr:rowOff>
    </xdr:from>
    <xdr:to>
      <xdr:col>10</xdr:col>
      <xdr:colOff>297180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2DB8A-A413-6018-61D7-38030BF42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ana HN" refreshedDate="46292.645567129628" createdVersion="8" refreshedVersion="8" minRefreshableVersion="3" recordCount="14" xr:uid="{E0FB6C60-C06F-4F25-B652-8A52FCD53869}">
  <cacheSource type="worksheet">
    <worksheetSource ref="A1:G16" sheet="Sheet1"/>
  </cacheSource>
  <cacheFields count="7">
    <cacheField name="Employee" numFmtId="0">
      <sharedItems/>
    </cacheField>
    <cacheField name="Department" numFmtId="0">
      <sharedItems count="3">
        <s v="IT"/>
        <s v="HR"/>
        <s v="Sales"/>
      </sharedItems>
    </cacheField>
    <cacheField name="Product" numFmtId="0">
      <sharedItems count="3">
        <s v="Laptop"/>
        <s v="Monitor"/>
        <s v="Keyboard"/>
      </sharedItems>
    </cacheField>
    <cacheField name="Region" numFmtId="0">
      <sharedItems/>
    </cacheField>
    <cacheField name="Sales" numFmtId="0">
      <sharedItems containsSemiMixedTypes="0" containsString="0" containsNumber="1" containsInteger="1" minValue="12000" maxValue="68000"/>
    </cacheField>
    <cacheField name="Status" numFmtId="0">
      <sharedItems count="2">
        <s v="Completed"/>
        <s v="Pending"/>
      </sharedItems>
    </cacheField>
    <cacheField name="Sales_Level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ana HN" refreshedDate="46292.657309259259" createdVersion="8" refreshedVersion="8" minRefreshableVersion="3" recordCount="3" xr:uid="{6503EC1E-D101-4348-986D-2635A3DA5826}">
  <cacheSource type="worksheet">
    <worksheetSource ref="A1:B4" sheet="Sheet2"/>
  </cacheSource>
  <cacheFields count="2">
    <cacheField name="Row Labels" numFmtId="0">
      <sharedItems/>
    </cacheField>
    <cacheField name="Sum of Sales" numFmtId="0">
      <sharedItems containsSemiMixedTypes="0" containsString="0" containsNumber="1" containsInteger="1" minValue="123000" maxValue="53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ana HN" refreshedDate="46294.878884837963" createdVersion="8" refreshedVersion="8" minRefreshableVersion="3" recordCount="4" xr:uid="{27F67B78-CFDE-4436-B01A-1068D9D6E294}">
  <cacheSource type="worksheet">
    <worksheetSource name="Table6_1"/>
  </cacheSource>
  <cacheFields count="3">
    <cacheField name="Department" numFmtId="0">
      <sharedItems count="2">
        <s v="IT"/>
        <s v="HR"/>
      </sharedItems>
    </cacheField>
    <cacheField name="Attribute" numFmtId="0">
      <sharedItems count="2">
        <s v="Jan"/>
        <s v="Feb"/>
      </sharedItems>
    </cacheField>
    <cacheField name="Value" numFmtId="0">
      <sharedItems containsSemiMixedTypes="0" containsString="0" containsNumber="1" containsInteger="1" minValue="30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ana HN" refreshedDate="46294.906845138888" createdVersion="8" refreshedVersion="8" minRefreshableVersion="3" recordCount="2" xr:uid="{787D24FD-B6C5-4221-8E08-D09AD0EB4852}">
  <cacheSource type="worksheet">
    <worksheetSource name="Table6"/>
  </cacheSource>
  <cacheFields count="3">
    <cacheField name="Department" numFmtId="0">
      <sharedItems count="2">
        <s v="IT"/>
        <s v="HR"/>
      </sharedItems>
    </cacheField>
    <cacheField name="Jan" numFmtId="0">
      <sharedItems containsSemiMixedTypes="0" containsString="0" containsNumber="1" containsInteger="1" minValue="30000" maxValue="50000"/>
    </cacheField>
    <cacheField name="Feb" numFmtId="0">
      <sharedItems containsSemiMixedTypes="0" containsString="0" containsNumber="1" containsInteger="1" minValue="40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Anu"/>
    <x v="0"/>
    <x v="0"/>
    <s v="South"/>
    <n v="45000"/>
    <x v="0"/>
    <s v="High"/>
  </r>
  <r>
    <s v="Ravi"/>
    <x v="1"/>
    <x v="1"/>
    <s v="North"/>
    <n v="18000"/>
    <x v="1"/>
    <s v="Normal"/>
  </r>
  <r>
    <s v="Priya"/>
    <x v="0"/>
    <x v="0"/>
    <s v="South"/>
    <n v="52000"/>
    <x v="0"/>
    <s v="High"/>
  </r>
  <r>
    <s v="Kiran"/>
    <x v="2"/>
    <x v="2"/>
    <s v="West"/>
    <n v="12000"/>
    <x v="1"/>
    <s v="Normal"/>
  </r>
  <r>
    <s v="Sneha"/>
    <x v="1"/>
    <x v="0"/>
    <s v="North"/>
    <n v="38000"/>
    <x v="0"/>
    <s v="High"/>
  </r>
  <r>
    <s v="Rahul"/>
    <x v="0"/>
    <x v="1"/>
    <s v="South"/>
    <n v="27000"/>
    <x v="1"/>
    <s v="Normal"/>
  </r>
  <r>
    <s v="Divya"/>
    <x v="2"/>
    <x v="0"/>
    <s v="West"/>
    <n v="61000"/>
    <x v="0"/>
    <s v="High"/>
  </r>
  <r>
    <s v="Arjun"/>
    <x v="0"/>
    <x v="2"/>
    <s v="East"/>
    <n v="15000"/>
    <x v="1"/>
    <s v="Normal"/>
  </r>
  <r>
    <s v="Meena"/>
    <x v="1"/>
    <x v="1"/>
    <s v="North"/>
    <n v="42000"/>
    <x v="0"/>
    <s v="High"/>
  </r>
  <r>
    <s v="Vijay"/>
    <x v="2"/>
    <x v="0"/>
    <s v="West"/>
    <n v="55000"/>
    <x v="0"/>
    <s v="High"/>
  </r>
  <r>
    <s v="Neha"/>
    <x v="0"/>
    <x v="1"/>
    <s v="East"/>
    <n v="29000"/>
    <x v="1"/>
    <s v="Normal"/>
  </r>
  <r>
    <s v="Asha"/>
    <x v="2"/>
    <x v="2"/>
    <s v="South"/>
    <n v="22000"/>
    <x v="1"/>
    <s v="Normal"/>
  </r>
  <r>
    <s v="Rohan"/>
    <x v="1"/>
    <x v="0"/>
    <s v="North"/>
    <n v="47000"/>
    <x v="0"/>
    <s v="High"/>
  </r>
  <r>
    <s v="Pooja"/>
    <x v="0"/>
    <x v="0"/>
    <s v="East"/>
    <n v="68000"/>
    <x v="0"/>
    <s v="Hig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Completed"/>
    <n v="408000"/>
  </r>
  <r>
    <s v="Pending"/>
    <n v="123000"/>
  </r>
  <r>
    <s v="Grand Total"/>
    <n v="531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50000"/>
  </r>
  <r>
    <x v="0"/>
    <x v="1"/>
    <n v="60000"/>
  </r>
  <r>
    <x v="1"/>
    <x v="0"/>
    <n v="30000"/>
  </r>
  <r>
    <x v="1"/>
    <x v="1"/>
    <n v="40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50000"/>
    <n v="60000"/>
  </r>
  <r>
    <x v="1"/>
    <n v="30000"/>
    <n v="4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B2B0E-EB84-403B-BB08-BFDC8675954E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:B14" firstHeaderRow="1" firstDataRow="1" firstDataCol="1"/>
  <pivotFields count="7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5B911-2106-4DDE-B6AE-E11B7E7DBAC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:G18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22D88-587A-4219-89A6-E392478ED00A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4" firstHeaderRow="1" firstDataRow="1" firstDataCol="1"/>
  <pivotFields count="7"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99F66A-DD35-4B36-A17B-C230E79ED6C9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7" firstHeaderRow="1" firstDataRow="1" firstDataCol="1"/>
  <pivotFields count="7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5F1D2-3DC8-4B8C-A262-FC206C9503C9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D3:F6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Jan" fld="1" baseField="0" baseItem="0"/>
    <dataField name="Sum of Feb" fld="2" baseField="0" baseItem="0"/>
  </dataFields>
  <chartFormats count="16"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B4C61-A7F8-4830-B61B-636ECF0555DD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0" firstHeaderRow="1" firstDataRow="1" firstDataCol="1"/>
  <pivotFields count="3">
    <pivotField axis="axisRow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Sum of Value" fld="2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DB8CAF-A15D-4A89-BCF1-F0652D9BBB9A}" autoFormatId="16" applyNumberFormats="0" applyBorderFormats="0" applyFontFormats="0" applyPatternFormats="0" applyAlignmentFormats="0" applyWidthHeightFormats="0">
  <queryTableRefresh nextId="10">
    <queryTableFields count="2">
      <queryTableField id="2" name="Department" tableColumnId="2"/>
      <queryTableField id="9" name="Total Sale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929EFA2-6688-4EAC-BDC7-3811A472A52B}" autoFormatId="16" applyNumberFormats="0" applyBorderFormats="0" applyFontFormats="0" applyPatternFormats="0" applyAlignmentFormats="0" applyWidthHeightFormats="0">
  <queryTableRefresh nextId="17">
    <queryTableFields count="8">
      <queryTableField id="1" name="Employee" tableColumnId="1"/>
      <queryTableField id="2" name="Department" tableColumnId="2"/>
      <queryTableField id="3" name="Product" tableColumnId="3"/>
      <queryTableField id="4" name="Region" tableColumnId="4"/>
      <queryTableField id="5" name="Sales" tableColumnId="5"/>
      <queryTableField id="6" name="Status" tableColumnId="6"/>
      <queryTableField id="7" name="Sales_Level" tableColumnId="7"/>
      <queryTableField id="16" name="Table1.Total Sales" tableColumnId="16"/>
    </queryTableFields>
    <queryTableDeletedFields count="6">
      <deletedField name="Column6"/>
      <deletedField name="Pending_Employees"/>
      <deletedField name="Column2"/>
      <deletedField name="Column3"/>
      <deletedField name="Column4"/>
      <deletedField name="Column5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ADD6640-3C50-42AB-8F39-1079302963F8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Total Sa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A12E625-DD8F-418E-A7ED-74B4CE845492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Attribute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6A2170-9F5F-4C22-8238-CAA8A07959CF}" name="Table1_1" displayName="Table1_1" ref="A1:B4" tableType="queryTable" totalsRowShown="0">
  <autoFilter ref="A1:B4" xr:uid="{B96A2170-9F5F-4C22-8238-CAA8A07959CF}"/>
  <tableColumns count="2">
    <tableColumn id="2" xr3:uid="{F91FB6A5-7BE5-4303-B08E-5451AB25B4FA}" uniqueName="2" name="Department" queryTableFieldId="2" dataDxfId="9"/>
    <tableColumn id="9" xr3:uid="{D73FF34E-F543-4863-AE36-F7061A295B41}" uniqueName="9" name="Total Sales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752CF7-D0BE-4F13-9D7B-506D91CF1B01}" name="Table1__2" displayName="Table1__2" ref="A1:H15" tableType="queryTable" totalsRowShown="0">
  <autoFilter ref="A1:H15" xr:uid="{D8752CF7-D0BE-4F13-9D7B-506D91CF1B01}"/>
  <tableColumns count="8">
    <tableColumn id="1" xr3:uid="{BC9B32BA-589E-4779-AA68-E2B457B8F21E}" uniqueName="1" name="Employee" queryTableFieldId="1" dataDxfId="8"/>
    <tableColumn id="2" xr3:uid="{690A1CDF-CABB-4DE5-AE3E-2ECEE9E3C82F}" uniqueName="2" name="Department" queryTableFieldId="2" dataDxfId="7"/>
    <tableColumn id="3" xr3:uid="{C325E62C-73FD-45B2-8FFA-CC427F8A78EE}" uniqueName="3" name="Product" queryTableFieldId="3" dataDxfId="6"/>
    <tableColumn id="4" xr3:uid="{35E7D3A0-FF05-4FC3-91D4-397C858672AD}" uniqueName="4" name="Region" queryTableFieldId="4" dataDxfId="5"/>
    <tableColumn id="5" xr3:uid="{16193196-0501-4C12-8D24-D92B17D23BFD}" uniqueName="5" name="Sales" queryTableFieldId="5"/>
    <tableColumn id="6" xr3:uid="{0FFB09EE-38B5-4335-B413-F1ADDD10A9E8}" uniqueName="6" name="Status" queryTableFieldId="6" dataDxfId="4"/>
    <tableColumn id="7" xr3:uid="{582EAD4F-73B9-4AD3-9CCA-FC210B687302}" uniqueName="7" name="Sales_Level" queryTableFieldId="7" dataDxfId="3"/>
    <tableColumn id="16" xr3:uid="{1AA88215-3294-40D3-BE09-891280BEA668}" uniqueName="16" name="Table1.Total Sales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9D83B-5674-4CF5-9502-C6353870AAD4}" name="Table1" displayName="Table1" ref="A1:G16" totalsRowShown="0">
  <autoFilter ref="A1:G16" xr:uid="{5EE9D83B-5674-4CF5-9502-C6353870AAD4}"/>
  <tableColumns count="7">
    <tableColumn id="1" xr3:uid="{8B5FD06D-6A23-4BC6-96E5-29BB7FAB1CBD}" name="Employee"/>
    <tableColumn id="2" xr3:uid="{4C4FEEDE-D16B-43BF-95B5-165528C2D7E7}" name="Department"/>
    <tableColumn id="3" xr3:uid="{9F9C901E-FA88-491E-A397-49E0584DB721}" name="Product"/>
    <tableColumn id="4" xr3:uid="{637C5564-0D9E-4E86-B038-C9FF52793FEE}" name="Region"/>
    <tableColumn id="5" xr3:uid="{2342060F-3C0C-4E05-B83D-D1C02F2E83A1}" name="Sales"/>
    <tableColumn id="6" xr3:uid="{6359C7FB-B341-48B4-88DD-BD6593EBD2BC}" name="Status"/>
    <tableColumn id="7" xr3:uid="{B3BB0156-B627-471B-ACBB-CE1F3E4E0474}" name="Sales_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C74DAC-EFCA-425D-B9D9-6C081B1DE985}" name="Table4_1" displayName="Table4_1" ref="A1:B6" tableType="queryTable" totalsRowShown="0">
  <autoFilter ref="A1:B6" xr:uid="{C9C74DAC-EFCA-425D-B9D9-6C081B1DE985}"/>
  <tableColumns count="2">
    <tableColumn id="1" xr3:uid="{8733B9EB-83FD-4C44-9085-C22EE77E535E}" uniqueName="1" name="Department" queryTableFieldId="1" dataDxfId="2"/>
    <tableColumn id="2" xr3:uid="{6412D38D-178A-4918-951F-827B965594BF}" uniqueName="2" name="Total Sales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88158B-548A-4AA5-8E2B-940D2E433246}" name="Table6_1" displayName="Table6_1" ref="A1:C5" tableType="queryTable" totalsRowShown="0">
  <autoFilter ref="A1:C5" xr:uid="{9C88158B-548A-4AA5-8E2B-940D2E433246}"/>
  <tableColumns count="3">
    <tableColumn id="1" xr3:uid="{45FBB706-495C-46A6-818C-C92117EFA0CF}" uniqueName="1" name="Department" queryTableFieldId="1" dataDxfId="11"/>
    <tableColumn id="2" xr3:uid="{116A516E-9378-4BEF-AB51-ED80EF0828F1}" uniqueName="2" name="Attribute" queryTableFieldId="2" dataDxfId="10"/>
    <tableColumn id="3" xr3:uid="{800C4588-7B31-465F-AA73-F7496DDAC830}" uniqueName="3" name="Value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86E7E9-C921-487D-998F-ED190796D1C8}" name="Table4" displayName="Table4" ref="A1:B3" totalsRowShown="0">
  <autoFilter ref="A1:B3" xr:uid="{BF86E7E9-C921-487D-998F-ED190796D1C8}"/>
  <tableColumns count="2">
    <tableColumn id="1" xr3:uid="{FA8F383E-92DC-4A2A-8C54-A83F7B23A2D7}" name="Department"/>
    <tableColumn id="2" xr3:uid="{06CEE6AE-E4B5-44AD-BEE7-42E4281563E1}" name="Total Sal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058404-FB30-41D9-A2EC-F971EEC9238C}" name="Table6" displayName="Table6" ref="D1:F3" totalsRowShown="0">
  <autoFilter ref="D1:F3" xr:uid="{F3058404-FB30-41D9-A2EC-F971EEC9238C}"/>
  <tableColumns count="3">
    <tableColumn id="1" xr3:uid="{71FE6DBF-3974-472C-89B8-0EC6ABC41830}" name="Department"/>
    <tableColumn id="2" xr3:uid="{1F52DF27-9603-40E5-BC8F-9C6859CC0B5B}" name="Jan"/>
    <tableColumn id="3" xr3:uid="{A830865D-03F9-413F-860D-CF006A33AA5E}" name="Fe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5EB2-C29D-4078-8E0C-D73F289FFABA}">
  <dimension ref="A1:G18"/>
  <sheetViews>
    <sheetView workbookViewId="0">
      <selection activeCell="A2" sqref="A2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1" spans="1:7" x14ac:dyDescent="0.3">
      <c r="A1" s="11" t="s">
        <v>34</v>
      </c>
      <c r="B1" t="s">
        <v>36</v>
      </c>
      <c r="E1" s="2"/>
      <c r="F1" s="3"/>
      <c r="G1" s="4"/>
    </row>
    <row r="2" spans="1:7" x14ac:dyDescent="0.3">
      <c r="A2" s="12" t="s">
        <v>10</v>
      </c>
      <c r="B2">
        <v>408000</v>
      </c>
      <c r="E2" s="5"/>
      <c r="F2" s="6"/>
      <c r="G2" s="7"/>
    </row>
    <row r="3" spans="1:7" x14ac:dyDescent="0.3">
      <c r="A3" s="12" t="s">
        <v>15</v>
      </c>
      <c r="B3">
        <v>123000</v>
      </c>
      <c r="E3" s="5"/>
      <c r="F3" s="6"/>
      <c r="G3" s="7"/>
    </row>
    <row r="4" spans="1:7" x14ac:dyDescent="0.3">
      <c r="A4" s="12" t="s">
        <v>35</v>
      </c>
      <c r="B4">
        <v>531000</v>
      </c>
      <c r="E4" s="5"/>
      <c r="F4" s="6"/>
      <c r="G4" s="7"/>
    </row>
    <row r="5" spans="1:7" x14ac:dyDescent="0.3">
      <c r="E5" s="5"/>
      <c r="F5" s="6"/>
      <c r="G5" s="7"/>
    </row>
    <row r="6" spans="1:7" x14ac:dyDescent="0.3">
      <c r="E6" s="5"/>
      <c r="F6" s="6"/>
      <c r="G6" s="7"/>
    </row>
    <row r="7" spans="1:7" x14ac:dyDescent="0.3">
      <c r="E7" s="5"/>
      <c r="F7" s="6"/>
      <c r="G7" s="7"/>
    </row>
    <row r="8" spans="1:7" x14ac:dyDescent="0.3">
      <c r="E8" s="5"/>
      <c r="F8" s="6"/>
      <c r="G8" s="7"/>
    </row>
    <row r="9" spans="1:7" x14ac:dyDescent="0.3">
      <c r="E9" s="5"/>
      <c r="F9" s="6"/>
      <c r="G9" s="7"/>
    </row>
    <row r="10" spans="1:7" x14ac:dyDescent="0.3">
      <c r="A10" s="11" t="s">
        <v>34</v>
      </c>
      <c r="B10" t="s">
        <v>36</v>
      </c>
      <c r="E10" s="5"/>
      <c r="F10" s="6"/>
      <c r="G10" s="7"/>
    </row>
    <row r="11" spans="1:7" x14ac:dyDescent="0.3">
      <c r="A11" s="12" t="s">
        <v>18</v>
      </c>
      <c r="B11">
        <v>49000</v>
      </c>
      <c r="E11" s="5"/>
      <c r="F11" s="6"/>
      <c r="G11" s="7"/>
    </row>
    <row r="12" spans="1:7" x14ac:dyDescent="0.3">
      <c r="A12" s="12" t="s">
        <v>8</v>
      </c>
      <c r="B12">
        <v>366000</v>
      </c>
      <c r="E12" s="5"/>
      <c r="F12" s="6"/>
      <c r="G12" s="7"/>
    </row>
    <row r="13" spans="1:7" x14ac:dyDescent="0.3">
      <c r="A13" s="12" t="s">
        <v>13</v>
      </c>
      <c r="B13">
        <v>116000</v>
      </c>
      <c r="E13" s="5"/>
      <c r="F13" s="6"/>
      <c r="G13" s="7"/>
    </row>
    <row r="14" spans="1:7" x14ac:dyDescent="0.3">
      <c r="A14" s="12" t="s">
        <v>35</v>
      </c>
      <c r="B14">
        <v>531000</v>
      </c>
      <c r="E14" s="5"/>
      <c r="F14" s="6"/>
      <c r="G14" s="7"/>
    </row>
    <row r="15" spans="1:7" x14ac:dyDescent="0.3">
      <c r="E15" s="5"/>
      <c r="F15" s="6"/>
      <c r="G15" s="7"/>
    </row>
    <row r="16" spans="1:7" x14ac:dyDescent="0.3">
      <c r="E16" s="5"/>
      <c r="F16" s="6"/>
      <c r="G16" s="7"/>
    </row>
    <row r="17" spans="5:7" x14ac:dyDescent="0.3">
      <c r="E17" s="5"/>
      <c r="F17" s="6"/>
      <c r="G17" s="7"/>
    </row>
    <row r="18" spans="5:7" x14ac:dyDescent="0.3">
      <c r="E18" s="8"/>
      <c r="F18" s="9"/>
      <c r="G18" s="10"/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26DE-DC97-4741-BA5F-FCB15663FBB4}">
  <dimension ref="A3:B7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11" t="s">
        <v>1</v>
      </c>
      <c r="B3" t="s">
        <v>36</v>
      </c>
    </row>
    <row r="4" spans="1:2" x14ac:dyDescent="0.3">
      <c r="A4" s="12" t="s">
        <v>12</v>
      </c>
      <c r="B4">
        <v>145000</v>
      </c>
    </row>
    <row r="5" spans="1:2" x14ac:dyDescent="0.3">
      <c r="A5" s="12" t="s">
        <v>7</v>
      </c>
      <c r="B5">
        <v>236000</v>
      </c>
    </row>
    <row r="6" spans="1:2" x14ac:dyDescent="0.3">
      <c r="A6" s="12" t="s">
        <v>4</v>
      </c>
      <c r="B6">
        <v>150000</v>
      </c>
    </row>
    <row r="7" spans="1:2" x14ac:dyDescent="0.3">
      <c r="A7" s="12" t="s">
        <v>35</v>
      </c>
      <c r="B7">
        <v>531000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95B8-DECB-4BAA-BF59-28B8ACFCD970}">
  <dimension ref="A1:B4"/>
  <sheetViews>
    <sheetView workbookViewId="0">
      <selection sqref="A1:B4"/>
    </sheetView>
  </sheetViews>
  <sheetFormatPr defaultRowHeight="14.4" x14ac:dyDescent="0.3"/>
  <cols>
    <col min="1" max="1" width="13.21875" bestFit="1" customWidth="1"/>
    <col min="2" max="2" width="12.21875" bestFit="1" customWidth="1"/>
    <col min="3" max="3" width="13.21875" bestFit="1" customWidth="1"/>
    <col min="4" max="4" width="9.77734375" bestFit="1" customWidth="1"/>
    <col min="5" max="5" width="8.77734375" bestFit="1" customWidth="1"/>
    <col min="6" max="6" width="7.77734375" bestFit="1" customWidth="1"/>
    <col min="7" max="7" width="9.77734375" bestFit="1" customWidth="1"/>
    <col min="8" max="8" width="12.88671875" bestFit="1" customWidth="1"/>
    <col min="9" max="9" width="16" bestFit="1" customWidth="1"/>
  </cols>
  <sheetData>
    <row r="1" spans="1:2" x14ac:dyDescent="0.3">
      <c r="A1" t="s">
        <v>1</v>
      </c>
      <c r="B1" t="s">
        <v>42</v>
      </c>
    </row>
    <row r="2" spans="1:2" x14ac:dyDescent="0.3">
      <c r="A2" t="s">
        <v>7</v>
      </c>
      <c r="B2">
        <v>166000</v>
      </c>
    </row>
    <row r="3" spans="1:2" x14ac:dyDescent="0.3">
      <c r="A3" t="s">
        <v>12</v>
      </c>
      <c r="B3">
        <v>127000</v>
      </c>
    </row>
    <row r="4" spans="1:2" x14ac:dyDescent="0.3">
      <c r="A4" t="s">
        <v>4</v>
      </c>
      <c r="B4">
        <v>116000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B4F3-BF6C-4508-9FEE-182328B0CF87}">
  <dimension ref="A1:M15"/>
  <sheetViews>
    <sheetView workbookViewId="0">
      <selection sqref="A1:G15"/>
    </sheetView>
  </sheetViews>
  <sheetFormatPr defaultRowHeight="14.4" x14ac:dyDescent="0.3"/>
  <cols>
    <col min="1" max="1" width="11.44140625" bestFit="1" customWidth="1"/>
    <col min="2" max="2" width="13.21875" bestFit="1" customWidth="1"/>
    <col min="3" max="3" width="9.77734375" bestFit="1" customWidth="1"/>
    <col min="4" max="4" width="8.77734375" bestFit="1" customWidth="1"/>
    <col min="5" max="5" width="7.77734375" bestFit="1" customWidth="1"/>
    <col min="6" max="6" width="9.77734375" bestFit="1" customWidth="1"/>
    <col min="7" max="7" width="12.88671875" bestFit="1" customWidth="1"/>
    <col min="8" max="8" width="18.44140625" bestFit="1" customWidth="1"/>
    <col min="9" max="9" width="15.6640625" bestFit="1" customWidth="1"/>
    <col min="10" max="10" width="11.109375" bestFit="1" customWidth="1"/>
    <col min="11" max="11" width="20" bestFit="1" customWidth="1"/>
    <col min="12" max="16" width="10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44</v>
      </c>
      <c r="I1" t="s">
        <v>32</v>
      </c>
      <c r="J1" t="s">
        <v>37</v>
      </c>
      <c r="K1" t="s">
        <v>38</v>
      </c>
      <c r="L1" t="s">
        <v>39</v>
      </c>
      <c r="M1" t="s">
        <v>40</v>
      </c>
    </row>
    <row r="2" spans="1:13" x14ac:dyDescent="0.3">
      <c r="A2" t="s">
        <v>6</v>
      </c>
      <c r="B2" t="s">
        <v>7</v>
      </c>
      <c r="C2" t="s">
        <v>8</v>
      </c>
      <c r="D2" t="s">
        <v>9</v>
      </c>
      <c r="E2">
        <v>46000</v>
      </c>
      <c r="F2" t="s">
        <v>10</v>
      </c>
      <c r="G2" t="s">
        <v>41</v>
      </c>
      <c r="H2">
        <v>166000</v>
      </c>
    </row>
    <row r="3" spans="1:13" x14ac:dyDescent="0.3">
      <c r="A3" t="s">
        <v>16</v>
      </c>
      <c r="B3" t="s">
        <v>7</v>
      </c>
      <c r="C3" t="s">
        <v>8</v>
      </c>
      <c r="D3" t="s">
        <v>9</v>
      </c>
      <c r="E3">
        <v>52000</v>
      </c>
      <c r="F3" t="s">
        <v>10</v>
      </c>
      <c r="G3" t="s">
        <v>41</v>
      </c>
      <c r="H3">
        <v>166000</v>
      </c>
    </row>
    <row r="4" spans="1:13" x14ac:dyDescent="0.3">
      <c r="A4" t="s">
        <v>11</v>
      </c>
      <c r="B4" t="s">
        <v>12</v>
      </c>
      <c r="C4" t="s">
        <v>13</v>
      </c>
      <c r="D4" t="s">
        <v>14</v>
      </c>
      <c r="E4">
        <v>18000</v>
      </c>
      <c r="F4" t="s">
        <v>15</v>
      </c>
      <c r="G4" t="s">
        <v>43</v>
      </c>
      <c r="H4">
        <v>127000</v>
      </c>
    </row>
    <row r="5" spans="1:13" x14ac:dyDescent="0.3">
      <c r="A5" t="s">
        <v>17</v>
      </c>
      <c r="B5" t="s">
        <v>4</v>
      </c>
      <c r="C5" t="s">
        <v>18</v>
      </c>
      <c r="D5" t="s">
        <v>19</v>
      </c>
      <c r="E5">
        <v>12000</v>
      </c>
      <c r="F5" t="s">
        <v>15</v>
      </c>
      <c r="G5" t="s">
        <v>43</v>
      </c>
      <c r="H5">
        <v>116000</v>
      </c>
    </row>
    <row r="6" spans="1:13" x14ac:dyDescent="0.3">
      <c r="A6" t="s">
        <v>20</v>
      </c>
      <c r="B6" t="s">
        <v>12</v>
      </c>
      <c r="C6" t="s">
        <v>8</v>
      </c>
      <c r="D6" t="s">
        <v>14</v>
      </c>
      <c r="E6">
        <v>38000</v>
      </c>
      <c r="F6" t="s">
        <v>10</v>
      </c>
      <c r="G6" t="s">
        <v>41</v>
      </c>
      <c r="H6">
        <v>127000</v>
      </c>
    </row>
    <row r="7" spans="1:13" x14ac:dyDescent="0.3">
      <c r="A7" t="s">
        <v>21</v>
      </c>
      <c r="B7" t="s">
        <v>7</v>
      </c>
      <c r="C7" t="s">
        <v>13</v>
      </c>
      <c r="D7" t="s">
        <v>9</v>
      </c>
      <c r="E7">
        <v>27000</v>
      </c>
      <c r="F7" t="s">
        <v>15</v>
      </c>
      <c r="G7" t="s">
        <v>43</v>
      </c>
      <c r="H7">
        <v>166000</v>
      </c>
    </row>
    <row r="8" spans="1:13" x14ac:dyDescent="0.3">
      <c r="A8" t="s">
        <v>22</v>
      </c>
      <c r="B8" t="s">
        <v>4</v>
      </c>
      <c r="C8" t="s">
        <v>8</v>
      </c>
      <c r="D8" t="s">
        <v>19</v>
      </c>
      <c r="E8">
        <v>61000</v>
      </c>
      <c r="F8" t="s">
        <v>10</v>
      </c>
      <c r="G8" t="s">
        <v>41</v>
      </c>
      <c r="H8">
        <v>116000</v>
      </c>
    </row>
    <row r="9" spans="1:13" x14ac:dyDescent="0.3">
      <c r="A9" t="s">
        <v>23</v>
      </c>
      <c r="B9" t="s">
        <v>7</v>
      </c>
      <c r="C9" t="s">
        <v>18</v>
      </c>
      <c r="D9" t="s">
        <v>24</v>
      </c>
      <c r="E9">
        <v>15000</v>
      </c>
      <c r="F9" t="s">
        <v>15</v>
      </c>
      <c r="G9" t="s">
        <v>43</v>
      </c>
      <c r="H9">
        <v>166000</v>
      </c>
      <c r="I9" t="s">
        <v>33</v>
      </c>
    </row>
    <row r="10" spans="1:13" x14ac:dyDescent="0.3">
      <c r="A10" t="s">
        <v>25</v>
      </c>
      <c r="B10" t="s">
        <v>12</v>
      </c>
      <c r="C10" t="s">
        <v>13</v>
      </c>
      <c r="D10" t="s">
        <v>14</v>
      </c>
      <c r="E10">
        <v>42000</v>
      </c>
      <c r="F10" t="s">
        <v>10</v>
      </c>
      <c r="G10" t="s">
        <v>41</v>
      </c>
      <c r="H10">
        <v>127000</v>
      </c>
    </row>
    <row r="11" spans="1:13" x14ac:dyDescent="0.3">
      <c r="A11" t="s">
        <v>26</v>
      </c>
      <c r="B11" t="s">
        <v>4</v>
      </c>
      <c r="C11" t="s">
        <v>8</v>
      </c>
      <c r="D11" t="s">
        <v>19</v>
      </c>
      <c r="E11">
        <v>55000</v>
      </c>
      <c r="F11" t="s">
        <v>10</v>
      </c>
      <c r="G11" t="s">
        <v>41</v>
      </c>
      <c r="H11">
        <v>116000</v>
      </c>
    </row>
    <row r="12" spans="1:13" x14ac:dyDescent="0.3">
      <c r="A12" t="s">
        <v>27</v>
      </c>
      <c r="B12" t="s">
        <v>7</v>
      </c>
      <c r="C12" t="s">
        <v>13</v>
      </c>
      <c r="D12" t="s">
        <v>24</v>
      </c>
      <c r="E12">
        <v>29000</v>
      </c>
      <c r="F12" t="s">
        <v>15</v>
      </c>
      <c r="G12" t="s">
        <v>43</v>
      </c>
      <c r="H12">
        <v>166000</v>
      </c>
    </row>
    <row r="13" spans="1:13" x14ac:dyDescent="0.3">
      <c r="A13" t="s">
        <v>28</v>
      </c>
      <c r="B13" t="s">
        <v>4</v>
      </c>
      <c r="C13" t="s">
        <v>18</v>
      </c>
      <c r="D13" t="s">
        <v>9</v>
      </c>
      <c r="E13">
        <v>22000</v>
      </c>
      <c r="F13" t="s">
        <v>15</v>
      </c>
      <c r="G13" t="s">
        <v>43</v>
      </c>
      <c r="H13">
        <v>116000</v>
      </c>
    </row>
    <row r="14" spans="1:13" x14ac:dyDescent="0.3">
      <c r="A14" t="s">
        <v>29</v>
      </c>
      <c r="B14" t="s">
        <v>12</v>
      </c>
      <c r="C14" t="s">
        <v>8</v>
      </c>
      <c r="D14" t="s">
        <v>14</v>
      </c>
      <c r="E14">
        <v>47000</v>
      </c>
      <c r="F14" t="s">
        <v>10</v>
      </c>
      <c r="G14" t="s">
        <v>41</v>
      </c>
      <c r="H14">
        <v>127000</v>
      </c>
    </row>
    <row r="15" spans="1:13" x14ac:dyDescent="0.3">
      <c r="A15" t="s">
        <v>30</v>
      </c>
      <c r="B15" t="s">
        <v>7</v>
      </c>
      <c r="C15" t="s">
        <v>8</v>
      </c>
      <c r="D15" t="s">
        <v>24</v>
      </c>
      <c r="E15">
        <v>68000</v>
      </c>
      <c r="F15" t="s">
        <v>10</v>
      </c>
      <c r="G15" t="s">
        <v>41</v>
      </c>
      <c r="H15">
        <v>166000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6B3C-9FC8-4158-9845-DFCC95A8D273}">
  <dimension ref="A1:G15"/>
  <sheetViews>
    <sheetView tabSelected="1" zoomScale="86" workbookViewId="0">
      <selection activeCell="I17" sqref="I17"/>
    </sheetView>
  </sheetViews>
  <sheetFormatPr defaultRowHeight="14.4" x14ac:dyDescent="0.3"/>
  <cols>
    <col min="1" max="1" width="11.109375" customWidth="1"/>
    <col min="2" max="2" width="12.88671875" customWidth="1"/>
    <col min="3" max="3" width="9.44140625" customWidth="1"/>
    <col min="6" max="6" width="12.33203125" customWidth="1"/>
    <col min="7" max="7" width="24.44140625" customWidth="1"/>
    <col min="8" max="14" width="16.44140625" customWidth="1"/>
    <col min="15" max="15" width="10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>
        <v>46000</v>
      </c>
      <c r="F2" t="s">
        <v>10</v>
      </c>
      <c r="G2" s="1" t="str">
        <f>IF(E2&gt;30000,"High","Normal")</f>
        <v>High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18000</v>
      </c>
      <c r="F3" t="s">
        <v>15</v>
      </c>
      <c r="G3" s="1" t="str">
        <f t="shared" ref="G3:G15" si="0">IF(E3&gt;30000,"High","Normal")</f>
        <v>Normal</v>
      </c>
    </row>
    <row r="4" spans="1:7" x14ac:dyDescent="0.3">
      <c r="A4" t="s">
        <v>16</v>
      </c>
      <c r="B4" t="s">
        <v>7</v>
      </c>
      <c r="C4" t="s">
        <v>8</v>
      </c>
      <c r="D4" t="s">
        <v>9</v>
      </c>
      <c r="E4">
        <v>52000</v>
      </c>
      <c r="F4" t="s">
        <v>10</v>
      </c>
      <c r="G4" s="1" t="str">
        <f t="shared" si="0"/>
        <v>High</v>
      </c>
    </row>
    <row r="5" spans="1:7" x14ac:dyDescent="0.3">
      <c r="A5" t="s">
        <v>17</v>
      </c>
      <c r="B5" t="s">
        <v>4</v>
      </c>
      <c r="C5" t="s">
        <v>18</v>
      </c>
      <c r="D5" t="s">
        <v>19</v>
      </c>
      <c r="E5">
        <v>12000</v>
      </c>
      <c r="F5" t="s">
        <v>15</v>
      </c>
      <c r="G5" s="1" t="str">
        <f t="shared" si="0"/>
        <v>Normal</v>
      </c>
    </row>
    <row r="6" spans="1:7" x14ac:dyDescent="0.3">
      <c r="A6" t="s">
        <v>20</v>
      </c>
      <c r="B6" t="s">
        <v>12</v>
      </c>
      <c r="C6" t="s">
        <v>8</v>
      </c>
      <c r="D6" t="s">
        <v>14</v>
      </c>
      <c r="E6">
        <v>38000</v>
      </c>
      <c r="F6" t="s">
        <v>10</v>
      </c>
      <c r="G6" s="1" t="str">
        <f t="shared" si="0"/>
        <v>High</v>
      </c>
    </row>
    <row r="7" spans="1:7" x14ac:dyDescent="0.3">
      <c r="A7" t="s">
        <v>21</v>
      </c>
      <c r="B7" t="s">
        <v>7</v>
      </c>
      <c r="C7" t="s">
        <v>13</v>
      </c>
      <c r="D7" t="s">
        <v>9</v>
      </c>
      <c r="E7">
        <v>27000</v>
      </c>
      <c r="F7" t="s">
        <v>15</v>
      </c>
      <c r="G7" s="1" t="str">
        <f t="shared" si="0"/>
        <v>Normal</v>
      </c>
    </row>
    <row r="8" spans="1:7" x14ac:dyDescent="0.3">
      <c r="A8" t="s">
        <v>22</v>
      </c>
      <c r="B8" t="s">
        <v>4</v>
      </c>
      <c r="C8" t="s">
        <v>8</v>
      </c>
      <c r="D8" t="s">
        <v>19</v>
      </c>
      <c r="E8">
        <v>61000</v>
      </c>
      <c r="F8" t="s">
        <v>10</v>
      </c>
      <c r="G8" s="1" t="str">
        <f t="shared" si="0"/>
        <v>High</v>
      </c>
    </row>
    <row r="9" spans="1:7" x14ac:dyDescent="0.3">
      <c r="A9" t="s">
        <v>23</v>
      </c>
      <c r="B9" t="s">
        <v>7</v>
      </c>
      <c r="C9" t="s">
        <v>18</v>
      </c>
      <c r="D9" t="s">
        <v>24</v>
      </c>
      <c r="E9">
        <v>15000</v>
      </c>
      <c r="F9" t="s">
        <v>15</v>
      </c>
      <c r="G9" s="1" t="str">
        <f t="shared" si="0"/>
        <v>Normal</v>
      </c>
    </row>
    <row r="10" spans="1:7" x14ac:dyDescent="0.3">
      <c r="A10" t="s">
        <v>25</v>
      </c>
      <c r="B10" t="s">
        <v>12</v>
      </c>
      <c r="C10" t="s">
        <v>13</v>
      </c>
      <c r="D10" t="s">
        <v>14</v>
      </c>
      <c r="E10">
        <v>42000</v>
      </c>
      <c r="F10" t="s">
        <v>10</v>
      </c>
      <c r="G10" s="1" t="str">
        <f t="shared" si="0"/>
        <v>High</v>
      </c>
    </row>
    <row r="11" spans="1:7" x14ac:dyDescent="0.3">
      <c r="A11" t="s">
        <v>26</v>
      </c>
      <c r="B11" t="s">
        <v>4</v>
      </c>
      <c r="C11" t="s">
        <v>8</v>
      </c>
      <c r="D11" t="s">
        <v>19</v>
      </c>
      <c r="E11">
        <v>55000</v>
      </c>
      <c r="F11" t="s">
        <v>10</v>
      </c>
      <c r="G11" s="1" t="str">
        <f t="shared" si="0"/>
        <v>High</v>
      </c>
    </row>
    <row r="12" spans="1:7" x14ac:dyDescent="0.3">
      <c r="A12" t="s">
        <v>27</v>
      </c>
      <c r="B12" t="s">
        <v>7</v>
      </c>
      <c r="C12" t="s">
        <v>13</v>
      </c>
      <c r="D12" t="s">
        <v>24</v>
      </c>
      <c r="E12">
        <v>29000</v>
      </c>
      <c r="F12" t="s">
        <v>15</v>
      </c>
      <c r="G12" s="1" t="str">
        <f t="shared" si="0"/>
        <v>Normal</v>
      </c>
    </row>
    <row r="13" spans="1:7" x14ac:dyDescent="0.3">
      <c r="A13" t="s">
        <v>28</v>
      </c>
      <c r="B13" t="s">
        <v>4</v>
      </c>
      <c r="C13" t="s">
        <v>18</v>
      </c>
      <c r="D13" t="s">
        <v>9</v>
      </c>
      <c r="E13">
        <v>22000</v>
      </c>
      <c r="F13" t="s">
        <v>15</v>
      </c>
      <c r="G13" s="1" t="str">
        <f t="shared" si="0"/>
        <v>Normal</v>
      </c>
    </row>
    <row r="14" spans="1:7" x14ac:dyDescent="0.3">
      <c r="A14" t="s">
        <v>29</v>
      </c>
      <c r="B14" t="s">
        <v>12</v>
      </c>
      <c r="C14" t="s">
        <v>8</v>
      </c>
      <c r="D14" t="s">
        <v>14</v>
      </c>
      <c r="E14">
        <v>47000</v>
      </c>
      <c r="F14" t="s">
        <v>10</v>
      </c>
      <c r="G14" s="1" t="str">
        <f t="shared" si="0"/>
        <v>High</v>
      </c>
    </row>
    <row r="15" spans="1:7" x14ac:dyDescent="0.3">
      <c r="A15" t="s">
        <v>30</v>
      </c>
      <c r="B15" t="s">
        <v>7</v>
      </c>
      <c r="C15" t="s">
        <v>8</v>
      </c>
      <c r="D15" t="s">
        <v>24</v>
      </c>
      <c r="E15">
        <v>68000</v>
      </c>
      <c r="F15" t="s">
        <v>10</v>
      </c>
      <c r="G15" s="1" t="str">
        <f t="shared" si="0"/>
        <v>High</v>
      </c>
    </row>
  </sheetData>
  <conditionalFormatting sqref="G2:G16">
    <cfRule type="containsText" dxfId="1" priority="1" operator="containsText" text="High">
      <formula>NOT(ISERROR(SEARCH("High",G2)))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C946-D847-4AD2-9747-DA57C82B31CD}">
  <dimension ref="A1:B6"/>
  <sheetViews>
    <sheetView workbookViewId="0"/>
  </sheetViews>
  <sheetFormatPr defaultRowHeight="14.4" x14ac:dyDescent="0.3"/>
  <cols>
    <col min="1" max="1" width="13.21875" bestFit="1" customWidth="1"/>
    <col min="2" max="2" width="12.21875" bestFit="1" customWidth="1"/>
  </cols>
  <sheetData>
    <row r="1" spans="1:2" x14ac:dyDescent="0.3">
      <c r="A1" t="s">
        <v>1</v>
      </c>
      <c r="B1" t="s">
        <v>42</v>
      </c>
    </row>
    <row r="2" spans="1:2" x14ac:dyDescent="0.3">
      <c r="A2" t="s">
        <v>45</v>
      </c>
      <c r="B2">
        <v>100000</v>
      </c>
    </row>
    <row r="3" spans="1:2" x14ac:dyDescent="0.3">
      <c r="A3" t="s">
        <v>46</v>
      </c>
      <c r="B3">
        <v>120000</v>
      </c>
    </row>
    <row r="4" spans="1:2" x14ac:dyDescent="0.3">
      <c r="A4" t="s">
        <v>7</v>
      </c>
      <c r="B4">
        <v>166000</v>
      </c>
    </row>
    <row r="5" spans="1:2" x14ac:dyDescent="0.3">
      <c r="A5" t="s">
        <v>12</v>
      </c>
      <c r="B5">
        <v>127000</v>
      </c>
    </row>
    <row r="6" spans="1:2" x14ac:dyDescent="0.3">
      <c r="A6" t="s">
        <v>4</v>
      </c>
      <c r="B6">
        <v>116000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92D2-E0E5-4B8C-B82E-A0556DD4E5BB}">
  <dimension ref="A1:F7"/>
  <sheetViews>
    <sheetView zoomScale="99" zoomScaleNormal="100" workbookViewId="0">
      <selection activeCell="H16" sqref="H16"/>
    </sheetView>
  </sheetViews>
  <sheetFormatPr defaultRowHeight="14.4" x14ac:dyDescent="0.3"/>
  <cols>
    <col min="1" max="1" width="32.77734375" bestFit="1" customWidth="1"/>
    <col min="2" max="2" width="12.109375" bestFit="1" customWidth="1"/>
    <col min="4" max="4" width="12.5546875" bestFit="1" customWidth="1"/>
    <col min="5" max="5" width="9.77734375" bestFit="1" customWidth="1"/>
    <col min="6" max="6" width="10.21875" bestFit="1" customWidth="1"/>
  </cols>
  <sheetData>
    <row r="1" spans="1:6" ht="18" x14ac:dyDescent="0.35">
      <c r="A1" s="16" t="s">
        <v>52</v>
      </c>
      <c r="B1" s="15"/>
    </row>
    <row r="3" spans="1:6" x14ac:dyDescent="0.3">
      <c r="A3" s="17" t="s">
        <v>42</v>
      </c>
      <c r="B3" s="18">
        <f>SUM(Table6!C2:C5)</f>
        <v>180000</v>
      </c>
      <c r="D3" s="11" t="s">
        <v>34</v>
      </c>
      <c r="E3" t="s">
        <v>57</v>
      </c>
      <c r="F3" t="s">
        <v>58</v>
      </c>
    </row>
    <row r="4" spans="1:6" x14ac:dyDescent="0.3">
      <c r="A4" s="17" t="s">
        <v>53</v>
      </c>
      <c r="B4" s="18">
        <f>AVERAGE(Table6!C2:C5)</f>
        <v>45000</v>
      </c>
      <c r="D4" s="12" t="s">
        <v>12</v>
      </c>
      <c r="E4" s="14">
        <v>30000</v>
      </c>
      <c r="F4" s="14">
        <v>40000</v>
      </c>
    </row>
    <row r="5" spans="1:6" x14ac:dyDescent="0.3">
      <c r="A5" s="17" t="s">
        <v>54</v>
      </c>
      <c r="B5" s="18">
        <f>MAX(Table6!C2:C5)</f>
        <v>60000</v>
      </c>
      <c r="D5" s="12" t="s">
        <v>7</v>
      </c>
      <c r="E5" s="14">
        <v>50000</v>
      </c>
      <c r="F5" s="14">
        <v>60000</v>
      </c>
    </row>
    <row r="6" spans="1:6" x14ac:dyDescent="0.3">
      <c r="A6" s="17" t="s">
        <v>55</v>
      </c>
      <c r="B6" s="18">
        <f>MIN(Table6!C2:C5)</f>
        <v>30000</v>
      </c>
      <c r="D6" s="12" t="s">
        <v>35</v>
      </c>
      <c r="E6" s="14">
        <v>80000</v>
      </c>
      <c r="F6" s="14">
        <v>100000</v>
      </c>
    </row>
    <row r="7" spans="1:6" x14ac:dyDescent="0.3">
      <c r="A7" s="17" t="s">
        <v>56</v>
      </c>
      <c r="B7" s="18">
        <f>COUNT(Table6!C2:C5)</f>
        <v>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65907-BCE1-46CD-99F2-CFCAE531925A}">
  <dimension ref="A3:B10"/>
  <sheetViews>
    <sheetView workbookViewId="0">
      <selection activeCell="K7" sqref="K7"/>
    </sheetView>
  </sheetViews>
  <sheetFormatPr defaultRowHeight="14.4" x14ac:dyDescent="0.3"/>
  <cols>
    <col min="1" max="1" width="12.44140625" bestFit="1" customWidth="1"/>
    <col min="2" max="2" width="11.6640625" bestFit="1" customWidth="1"/>
  </cols>
  <sheetData>
    <row r="3" spans="1:2" x14ac:dyDescent="0.3">
      <c r="A3" s="11" t="s">
        <v>34</v>
      </c>
      <c r="B3" t="s">
        <v>51</v>
      </c>
    </row>
    <row r="4" spans="1:2" x14ac:dyDescent="0.3">
      <c r="A4" s="12" t="s">
        <v>12</v>
      </c>
      <c r="B4" s="14">
        <v>70000</v>
      </c>
    </row>
    <row r="5" spans="1:2" x14ac:dyDescent="0.3">
      <c r="A5" s="13" t="s">
        <v>47</v>
      </c>
      <c r="B5" s="14">
        <v>30000</v>
      </c>
    </row>
    <row r="6" spans="1:2" x14ac:dyDescent="0.3">
      <c r="A6" s="13" t="s">
        <v>48</v>
      </c>
      <c r="B6" s="14">
        <v>40000</v>
      </c>
    </row>
    <row r="7" spans="1:2" x14ac:dyDescent="0.3">
      <c r="A7" s="12" t="s">
        <v>7</v>
      </c>
      <c r="B7" s="14">
        <v>110000</v>
      </c>
    </row>
    <row r="8" spans="1:2" x14ac:dyDescent="0.3">
      <c r="A8" s="13" t="s">
        <v>47</v>
      </c>
      <c r="B8" s="14">
        <v>50000</v>
      </c>
    </row>
    <row r="9" spans="1:2" x14ac:dyDescent="0.3">
      <c r="A9" s="13" t="s">
        <v>48</v>
      </c>
      <c r="B9" s="14">
        <v>60000</v>
      </c>
    </row>
    <row r="10" spans="1:2" x14ac:dyDescent="0.3">
      <c r="A10" s="12" t="s">
        <v>35</v>
      </c>
      <c r="B10" s="14">
        <v>180000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3D06-F8C5-4F99-BC34-D0E48A4D7ED4}">
  <dimension ref="A1:C5"/>
  <sheetViews>
    <sheetView workbookViewId="0">
      <selection activeCell="A3" sqref="A3"/>
    </sheetView>
  </sheetViews>
  <sheetFormatPr defaultRowHeight="14.4" x14ac:dyDescent="0.3"/>
  <cols>
    <col min="1" max="1" width="13.21875" bestFit="1" customWidth="1"/>
    <col min="2" max="2" width="10.6640625" bestFit="1" customWidth="1"/>
    <col min="3" max="3" width="7.88671875" bestFit="1" customWidth="1"/>
  </cols>
  <sheetData>
    <row r="1" spans="1:3" x14ac:dyDescent="0.3">
      <c r="A1" t="s">
        <v>1</v>
      </c>
      <c r="B1" t="s">
        <v>49</v>
      </c>
      <c r="C1" t="s">
        <v>50</v>
      </c>
    </row>
    <row r="2" spans="1:3" x14ac:dyDescent="0.3">
      <c r="A2" t="s">
        <v>7</v>
      </c>
      <c r="B2" t="s">
        <v>47</v>
      </c>
      <c r="C2">
        <v>50000</v>
      </c>
    </row>
    <row r="3" spans="1:3" x14ac:dyDescent="0.3">
      <c r="A3" t="s">
        <v>7</v>
      </c>
      <c r="B3" t="s">
        <v>48</v>
      </c>
      <c r="C3">
        <v>60000</v>
      </c>
    </row>
    <row r="4" spans="1:3" x14ac:dyDescent="0.3">
      <c r="A4" t="s">
        <v>12</v>
      </c>
      <c r="B4" t="s">
        <v>47</v>
      </c>
      <c r="C4">
        <v>30000</v>
      </c>
    </row>
    <row r="5" spans="1:3" x14ac:dyDescent="0.3">
      <c r="A5" t="s">
        <v>12</v>
      </c>
      <c r="B5" t="s">
        <v>48</v>
      </c>
      <c r="C5">
        <v>40000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21A4-4945-4E91-A0B6-7EC8C92990A8}">
  <dimension ref="A1:F3"/>
  <sheetViews>
    <sheetView workbookViewId="0">
      <selection activeCell="D3" sqref="D3"/>
    </sheetView>
  </sheetViews>
  <sheetFormatPr defaultRowHeight="14.4" x14ac:dyDescent="0.3"/>
  <cols>
    <col min="1" max="1" width="12.88671875" customWidth="1"/>
    <col min="2" max="2" width="11.88671875" customWidth="1"/>
    <col min="4" max="4" width="12.88671875" customWidth="1"/>
  </cols>
  <sheetData>
    <row r="1" spans="1:6" x14ac:dyDescent="0.3">
      <c r="A1" t="s">
        <v>1</v>
      </c>
      <c r="B1" t="s">
        <v>42</v>
      </c>
      <c r="D1" t="s">
        <v>1</v>
      </c>
      <c r="E1" t="s">
        <v>47</v>
      </c>
      <c r="F1" t="s">
        <v>48</v>
      </c>
    </row>
    <row r="2" spans="1:6" x14ac:dyDescent="0.3">
      <c r="A2" t="s">
        <v>45</v>
      </c>
      <c r="B2">
        <v>100000</v>
      </c>
      <c r="D2" t="s">
        <v>7</v>
      </c>
      <c r="E2">
        <v>50000</v>
      </c>
      <c r="F2">
        <v>60000</v>
      </c>
    </row>
    <row r="3" spans="1:6" x14ac:dyDescent="0.3">
      <c r="A3" t="s">
        <v>46</v>
      </c>
      <c r="B3">
        <v>120000</v>
      </c>
      <c r="D3" t="s">
        <v>12</v>
      </c>
      <c r="E3">
        <v>30000</v>
      </c>
      <c r="F3">
        <v>40000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9CB9C7-63CC-41DE-8C8C-581C3249B9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Charts</vt:lpstr>
      </vt:variant>
      <vt:variant>
        <vt:i4>1</vt:i4>
      </vt:variant>
    </vt:vector>
  </HeadingPairs>
  <TitlesOfParts>
    <vt:vector size="11" baseType="lpstr">
      <vt:lpstr>Sheet2</vt:lpstr>
      <vt:lpstr>Sheet3</vt:lpstr>
      <vt:lpstr>Table1</vt:lpstr>
      <vt:lpstr>Table1 (2)</vt:lpstr>
      <vt:lpstr>Sheet1</vt:lpstr>
      <vt:lpstr>Table4</vt:lpstr>
      <vt:lpstr>Sheet5</vt:lpstr>
      <vt:lpstr>Sheet6</vt:lpstr>
      <vt:lpstr>Table6</vt:lpstr>
      <vt:lpstr>Sheet4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HN</dc:creator>
  <cp:lastModifiedBy>Keerthana HN</cp:lastModifiedBy>
  <dcterms:created xsi:type="dcterms:W3CDTF">2026-09-27T08:37:22Z</dcterms:created>
  <dcterms:modified xsi:type="dcterms:W3CDTF">2026-09-29T16:58:02Z</dcterms:modified>
</cp:coreProperties>
</file>